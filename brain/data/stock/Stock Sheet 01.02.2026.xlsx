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ful\Desktop\Stock Sheets\"/>
    </mc:Choice>
  </mc:AlternateContent>
  <xr:revisionPtr revIDLastSave="0" documentId="13_ncr:1_{BA88E494-2BB4-4014-910F-8828E3DA4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0" i="1" l="1"/>
  <c r="D190" i="1" s="1"/>
  <c r="D189" i="1"/>
  <c r="D188" i="1"/>
  <c r="D187" i="1"/>
  <c r="D186" i="1"/>
  <c r="D185" i="1"/>
  <c r="D182" i="1"/>
  <c r="D181" i="1"/>
  <c r="D180" i="1"/>
  <c r="D179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0" i="1"/>
  <c r="D159" i="1"/>
  <c r="D156" i="1"/>
  <c r="D155" i="1"/>
  <c r="D154" i="1"/>
  <c r="D153" i="1"/>
  <c r="D152" i="1"/>
  <c r="D151" i="1"/>
  <c r="D150" i="1"/>
  <c r="D149" i="1"/>
  <c r="D148" i="1"/>
  <c r="D145" i="1"/>
  <c r="D144" i="1"/>
  <c r="D143" i="1"/>
  <c r="D142" i="1"/>
  <c r="D141" i="1"/>
  <c r="D140" i="1"/>
  <c r="D139" i="1"/>
  <c r="B139" i="1"/>
  <c r="D138" i="1"/>
  <c r="D137" i="1"/>
  <c r="D136" i="1"/>
  <c r="D135" i="1"/>
  <c r="D134" i="1"/>
  <c r="D133" i="1"/>
  <c r="D132" i="1"/>
  <c r="D131" i="1"/>
  <c r="D130" i="1"/>
  <c r="D129" i="1"/>
  <c r="D128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1" i="1"/>
  <c r="D90" i="1"/>
  <c r="D89" i="1"/>
  <c r="D86" i="1"/>
  <c r="D85" i="1"/>
  <c r="D82" i="1"/>
  <c r="D81" i="1"/>
  <c r="B81" i="1"/>
  <c r="D80" i="1"/>
  <c r="D79" i="1"/>
  <c r="D76" i="1"/>
  <c r="D75" i="1"/>
  <c r="D74" i="1"/>
  <c r="D73" i="1"/>
  <c r="D72" i="1"/>
  <c r="D69" i="1"/>
  <c r="D68" i="1"/>
  <c r="D67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  <c r="D49" i="1"/>
  <c r="D4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29" i="1"/>
  <c r="D28" i="1"/>
  <c r="D27" i="1"/>
  <c r="D26" i="1"/>
  <c r="D25" i="1"/>
  <c r="D24" i="1"/>
  <c r="D23" i="1"/>
  <c r="D21" i="1"/>
  <c r="D20" i="1"/>
  <c r="D19" i="1"/>
  <c r="D18" i="1"/>
  <c r="D17" i="1"/>
  <c r="D16" i="1"/>
  <c r="D15" i="1"/>
  <c r="D13" i="1"/>
  <c r="B13" i="1"/>
  <c r="D12" i="1"/>
  <c r="D11" i="1"/>
  <c r="D10" i="1"/>
  <c r="D9" i="1"/>
  <c r="D8" i="1"/>
  <c r="D7" i="1"/>
  <c r="D6" i="1"/>
  <c r="D192" i="1" l="1"/>
</calcChain>
</file>

<file path=xl/sharedStrings.xml><?xml version="1.0" encoding="utf-8"?>
<sst xmlns="http://schemas.openxmlformats.org/spreadsheetml/2006/main" count="172" uniqueCount="167">
  <si>
    <t>Stock: 01.02.2026 (current amount of stock)</t>
  </si>
  <si>
    <t xml:space="preserve">Product </t>
  </si>
  <si>
    <t xml:space="preserve">Quanitiy </t>
  </si>
  <si>
    <t>Price</t>
  </si>
  <si>
    <t>Total on hand</t>
  </si>
  <si>
    <t>Spirits</t>
  </si>
  <si>
    <t>Vodka</t>
  </si>
  <si>
    <t>Ciroc Original 70cl</t>
  </si>
  <si>
    <t>Ciroc Mango 70cl</t>
  </si>
  <si>
    <t>Ciroc Apple 70cl</t>
  </si>
  <si>
    <t>Ciroc Summer Citrus 70cl</t>
  </si>
  <si>
    <t>Absolut  Raspberry 70cl</t>
  </si>
  <si>
    <t>Checkov Cheap Ass Vodka 1.5ltr</t>
  </si>
  <si>
    <t>3 Wheel Vodka</t>
  </si>
  <si>
    <t>Smirnoff Red 70cl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</si>
  <si>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</si>
  <si>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</si>
  <si>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</si>
  <si>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</si>
  <si>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</si>
  <si>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</si>
  <si>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</si>
  <si>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</si>
  <si>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</si>
  <si>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</si>
  <si>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</si>
  <si>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</si>
  <si>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</si>
  <si>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</si>
  <si>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</si>
  <si>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</si>
  <si>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</si>
  <si>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</si>
  <si>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</si>
  <si>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</si>
  <si>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</si>
  <si>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</si>
  <si>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</si>
  <si>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</si>
  <si>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</si>
  <si>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</si>
  <si>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</si>
  <si>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</si>
  <si>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</si>
  <si>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</si>
  <si>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</si>
  <si>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</si>
  <si>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</si>
  <si>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</si>
  <si>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Jagermeister 70cl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</si>
  <si>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</si>
  <si>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</si>
  <si>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</si>
  <si>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</si>
  <si>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</si>
  <si>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</si>
  <si>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</si>
  <si>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</si>
  <si>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</si>
  <si>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Aperol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</si>
  <si>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</si>
  <si>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</si>
  <si>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</si>
  <si>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</si>
  <si>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</si>
  <si>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</si>
  <si>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</si>
  <si>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Tussock Jumper Merlot (Red) x 75cl</t>
  </si>
  <si>
    <t>LA BONITA MALBEC</t>
  </si>
  <si>
    <t>Chilnero Merlot x 75cl</t>
  </si>
  <si>
    <t>White</t>
  </si>
  <si>
    <t>South Island Sauvignon Blanc x 75cl</t>
  </si>
  <si>
    <t>MACABAO</t>
  </si>
  <si>
    <t>Alpino Pinot Grigio 75cl</t>
  </si>
  <si>
    <t>Afrikan Chenin Blanc</t>
  </si>
  <si>
    <t>Rose</t>
  </si>
  <si>
    <t>Discovery Beach White Zinfandel (Rose) x 75cl</t>
  </si>
  <si>
    <t>Alpino Pinot Blush (Rose) x 75cl</t>
  </si>
  <si>
    <t>Sparkling-</t>
  </si>
  <si>
    <t>Cantina Garda Prosecco (White) x 75cl</t>
  </si>
  <si>
    <t>Cantina Garda Prosecco (Rose) x 75cl</t>
  </si>
  <si>
    <t>Cantina Garda Spumante x 75cl</t>
  </si>
  <si>
    <t>Soft Drinks/Mixers-</t>
  </si>
  <si>
    <t>Sunpride Cranberry Juice - x 1ltr</t>
  </si>
  <si>
    <t>Sunpride Orange/Apple Juice - x 1ltr</t>
  </si>
  <si>
    <t>Britvic Orange Cordial - 0.7 x 1ltr</t>
  </si>
  <si>
    <t>Britvic Blackcurrant Cordial - 0.2 x 1ltr</t>
  </si>
  <si>
    <t>Britvic Lime Cordial - 11.1 x 1ltr</t>
  </si>
  <si>
    <t>Energy Drink Big bottles</t>
  </si>
  <si>
    <t xml:space="preserve">Fruit Shoot Apple and Blackcurrant 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</si>
  <si>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</si>
  <si>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</si>
  <si>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</si>
  <si>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</si>
  <si>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</si>
  <si>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</si>
  <si>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Casa De Flores Merlot</t>
  </si>
  <si>
    <t>Finca La Colonia Malbec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</si>
  <si>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</si>
  <si>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</si>
  <si>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</si>
  <si>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</si>
  <si>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</si>
  <si>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Serena 1881 Prosecco</t>
  </si>
  <si>
    <t>Serena 1881 Rose Prosecco</t>
  </si>
  <si>
    <t>Serena 1881 Spumante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</si>
  <si>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</si>
  <si>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</si>
  <si>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</si>
  <si>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</si>
  <si>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</si>
  <si>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</si>
  <si>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Amstel Cans TREAT DAY</t>
  </si>
  <si>
    <t>Verdant PUTTY (440ml Can)</t>
  </si>
  <si>
    <t>PROPER JOB IPA A/F</t>
  </si>
  <si>
    <t>Chug A/F (440ml Can)</t>
  </si>
  <si>
    <t>Alc Free (330ml can)</t>
  </si>
  <si>
    <t>Beyond the Pines A/F (440ml Can)</t>
  </si>
  <si>
    <t>LUNEBREW CANS  (440ml Can)</t>
  </si>
  <si>
    <t>Corona Bottles 330ml</t>
  </si>
  <si>
    <t>Vodka Cans TREAT DAY</t>
  </si>
  <si>
    <t>Strongbow cans 440ml</t>
  </si>
  <si>
    <t>Ascension Pilot can</t>
  </si>
  <si>
    <t>Ascension Wrath Can</t>
  </si>
  <si>
    <t>Ascension Shimmy Can</t>
  </si>
  <si>
    <t>Cask-</t>
  </si>
  <si>
    <t>Lunebrew: Lune Valley Gold</t>
  </si>
  <si>
    <t>LuneBrew: Pale Ale</t>
  </si>
  <si>
    <t>LuneBrew: session ipa</t>
  </si>
  <si>
    <t>LuneBrew: Bitter</t>
  </si>
  <si>
    <t>LuneBrew: Caked</t>
  </si>
  <si>
    <t>Guest</t>
  </si>
  <si>
    <t>Lunebrew DEW cask</t>
  </si>
  <si>
    <t>LuneBrew: Stout 8 Malt</t>
  </si>
  <si>
    <t>LuneBrew: Centennial Summer</t>
  </si>
  <si>
    <t>Draught-</t>
  </si>
  <si>
    <t>Lunebrew: Session IPA</t>
  </si>
  <si>
    <t>Lunebrew: Peaches (30ltr)</t>
  </si>
  <si>
    <t>Lunebrew:Pale (30ltr)</t>
  </si>
  <si>
    <t>Lunebrew/Guest (30ltr)</t>
  </si>
  <si>
    <t>LuneBrew: Stampede</t>
  </si>
  <si>
    <t>Apple Cider 50ltr</t>
  </si>
  <si>
    <t>LuneBrew: Dew (30ltr)</t>
  </si>
  <si>
    <t>LuneBrew: Caravan of Love</t>
  </si>
  <si>
    <t>Stowford press</t>
  </si>
  <si>
    <t>Alcohol Free: ?</t>
  </si>
  <si>
    <t>Delerium Red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</si>
  <si>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</si>
  <si>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</si>
  <si>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</si>
  <si>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</si>
  <si>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</si>
  <si>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</si>
  <si>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UTILJE juicy Lucy/bird of prey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</si>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</sst>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[$£-809]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2" fillId="4" borderId="1" xfId="0" applyFont="1" applyFill="1" applyBorder="1" applyAlignment="1"/>
    <xf numFmtId="0" fontId="2" fillId="4" borderId="4" xfId="0" applyFont="1" applyFill="1" applyBorder="1" applyAlignment="1"/>
    <xf numFmtId="0" fontId="2" fillId="3" borderId="3" xfId="0" applyFont="1" applyFill="1" applyBorder="1" applyAlignment="1"/>
    <xf numFmtId="0" fontId="1" fillId="4" borderId="1" xfId="0" applyFont="1" applyFill="1" applyBorder="1" applyAlignment="1"/>
    <xf numFmtId="2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2" fillId="4" borderId="4" xfId="0" applyNumberFormat="1" applyFont="1" applyFill="1" applyBorder="1" applyAlignment="1">
      <alignment horizontal="right"/>
    </xf>
    <xf numFmtId="0" fontId="2" fillId="0" borderId="1" xfId="0" applyFont="1" applyBorder="1" applyAlignment="1"/>
    <xf numFmtId="2" fontId="2" fillId="0" borderId="1" xfId="0" applyNumberFormat="1" applyFont="1" applyBorder="1" applyAlignment="1"/>
    <xf numFmtId="2" fontId="2" fillId="0" borderId="4" xfId="0" applyNumberFormat="1" applyFont="1" applyBorder="1" applyAlignment="1">
      <alignment horizontal="right"/>
    </xf>
    <xf numFmtId="0" fontId="1" fillId="6" borderId="1" xfId="0" applyFont="1" applyFill="1" applyBorder="1" applyAlignment="1"/>
    <xf numFmtId="2" fontId="2" fillId="6" borderId="1" xfId="0" applyNumberFormat="1" applyFont="1" applyFill="1" applyBorder="1" applyAlignment="1"/>
    <xf numFmtId="2" fontId="2" fillId="6" borderId="4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2" fontId="2" fillId="7" borderId="1" xfId="0" applyNumberFormat="1" applyFont="1" applyFill="1" applyBorder="1" applyAlignment="1"/>
    <xf numFmtId="2" fontId="2" fillId="7" borderId="4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/>
    <xf numFmtId="2" fontId="2" fillId="7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2" fontId="2" fillId="8" borderId="1" xfId="0" applyNumberFormat="1" applyFont="1" applyFill="1" applyBorder="1" applyAlignment="1"/>
    <xf numFmtId="2" fontId="2" fillId="8" borderId="4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2" fontId="2" fillId="9" borderId="1" xfId="0" applyNumberFormat="1" applyFont="1" applyFill="1" applyBorder="1" applyAlignment="1"/>
    <xf numFmtId="2" fontId="2" fillId="9" borderId="4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2" fontId="2" fillId="10" borderId="1" xfId="0" applyNumberFormat="1" applyFont="1" applyFill="1" applyBorder="1" applyAlignment="1"/>
    <xf numFmtId="2" fontId="2" fillId="10" borderId="4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1" fillId="0" borderId="1" xfId="0" applyFont="1" applyBorder="1" applyAlignment="1"/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2" fontId="2" fillId="11" borderId="4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0" fontId="1" fillId="3" borderId="1" xfId="0" applyFont="1" applyFill="1" applyBorder="1" applyAlignment="1"/>
    <xf numFmtId="2" fontId="2" fillId="0" borderId="1" xfId="0" applyNumberFormat="1" applyFont="1" applyBorder="1" applyAlignment="1">
      <alignment horizontal="right"/>
    </xf>
    <xf numFmtId="0" fontId="1" fillId="13" borderId="1" xfId="0" applyFont="1" applyFill="1" applyBorder="1" applyAlignment="1"/>
    <xf numFmtId="2" fontId="2" fillId="13" borderId="1" xfId="0" applyNumberFormat="1" applyFont="1" applyFill="1" applyBorder="1" applyAlignment="1">
      <alignment horizontal="right"/>
    </xf>
    <xf numFmtId="2" fontId="2" fillId="13" borderId="4" xfId="0" applyNumberFormat="1" applyFont="1" applyFill="1" applyBorder="1" applyAlignment="1">
      <alignment horizontal="right"/>
    </xf>
    <xf numFmtId="2" fontId="2" fillId="13" borderId="1" xfId="0" applyNumberFormat="1" applyFont="1" applyFill="1" applyBorder="1" applyAlignment="1">
      <alignment horizontal="right"/>
    </xf>
    <xf numFmtId="0" fontId="1" fillId="13" borderId="1" xfId="0" applyFont="1" applyFill="1" applyBorder="1" applyAlignment="1"/>
    <xf numFmtId="0" fontId="1" fillId="12" borderId="1" xfId="0" applyFont="1" applyFill="1" applyBorder="1" applyAlignment="1"/>
    <xf numFmtId="2" fontId="2" fillId="12" borderId="1" xfId="0" applyNumberFormat="1" applyFont="1" applyFill="1" applyBorder="1" applyAlignment="1">
      <alignment horizontal="right"/>
    </xf>
    <xf numFmtId="2" fontId="2" fillId="12" borderId="4" xfId="0" applyNumberFormat="1" applyFont="1" applyFill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/>
    <xf numFmtId="2" fontId="2" fillId="14" borderId="1" xfId="0" applyNumberFormat="1" applyFont="1" applyFill="1" applyBorder="1" applyAlignment="1"/>
    <xf numFmtId="2" fontId="2" fillId="14" borderId="4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0" fontId="1" fillId="15" borderId="1" xfId="0" applyFont="1" applyFill="1" applyBorder="1" applyAlignment="1"/>
    <xf numFmtId="2" fontId="2" fillId="15" borderId="1" xfId="0" applyNumberFormat="1" applyFont="1" applyFill="1" applyBorder="1" applyAlignment="1"/>
    <xf numFmtId="2" fontId="2" fillId="15" borderId="4" xfId="0" applyNumberFormat="1" applyFont="1" applyFill="1" applyBorder="1" applyAlignment="1">
      <alignment horizontal="right"/>
    </xf>
    <xf numFmtId="0" fontId="1" fillId="15" borderId="1" xfId="0" applyFont="1" applyFill="1" applyBorder="1" applyAlignment="1"/>
    <xf numFmtId="2" fontId="2" fillId="15" borderId="1" xfId="0" applyNumberFormat="1" applyFont="1" applyFill="1" applyBorder="1" applyAlignment="1">
      <alignment horizontal="right"/>
    </xf>
    <xf numFmtId="2" fontId="2" fillId="15" borderId="1" xfId="0" applyNumberFormat="1" applyFont="1" applyFill="1" applyBorder="1" applyAlignment="1">
      <alignment horizontal="right"/>
    </xf>
    <xf numFmtId="0" fontId="1" fillId="15" borderId="1" xfId="0" applyFont="1" applyFill="1" applyBorder="1" applyAlignment="1"/>
    <xf numFmtId="4" fontId="5" fillId="0" borderId="1" xfId="0" applyNumberFormat="1" applyFont="1" applyBorder="1" applyAlignment="1"/>
    <xf numFmtId="4" fontId="6" fillId="0" borderId="1" xfId="0" applyNumberFormat="1" applyFont="1" applyBorder="1" applyAlignment="1"/>
    <xf numFmtId="164" fontId="6" fillId="0" borderId="1" xfId="0" applyNumberFormat="1" applyFont="1" applyBorder="1" applyAlignment="1"/>
    <xf numFmtId="165" fontId="6" fillId="0" borderId="4" xfId="0" applyNumberFormat="1" applyFont="1" applyBorder="1" applyAlignment="1">
      <alignment horizontal="right"/>
    </xf>
    <xf numFmtId="4" fontId="5" fillId="11" borderId="1" xfId="0" applyNumberFormat="1" applyFont="1" applyFill="1" applyBorder="1" applyAlignment="1"/>
    <xf numFmtId="4" fontId="6" fillId="11" borderId="1" xfId="0" applyNumberFormat="1" applyFont="1" applyFill="1" applyBorder="1" applyAlignment="1"/>
    <xf numFmtId="164" fontId="6" fillId="11" borderId="1" xfId="0" applyNumberFormat="1" applyFont="1" applyFill="1" applyBorder="1" applyAlignment="1"/>
    <xf numFmtId="165" fontId="6" fillId="11" borderId="4" xfId="0" applyNumberFormat="1" applyFont="1" applyFill="1" applyBorder="1" applyAlignment="1">
      <alignment horizontal="right"/>
    </xf>
    <xf numFmtId="4" fontId="6" fillId="11" borderId="1" xfId="0" applyNumberFormat="1" applyFont="1" applyFill="1" applyBorder="1" applyAlignment="1">
      <alignment horizontal="right"/>
    </xf>
    <xf numFmtId="164" fontId="6" fillId="11" borderId="1" xfId="0" applyNumberFormat="1" applyFont="1" applyFill="1" applyBorder="1" applyAlignment="1">
      <alignment horizontal="right"/>
    </xf>
    <xf numFmtId="165" fontId="6" fillId="11" borderId="4" xfId="0" applyNumberFormat="1" applyFont="1" applyFill="1" applyBorder="1" applyAlignment="1">
      <alignment horizontal="right"/>
    </xf>
    <xf numFmtId="4" fontId="5" fillId="13" borderId="1" xfId="0" applyNumberFormat="1" applyFont="1" applyFill="1" applyBorder="1" applyAlignment="1"/>
    <xf numFmtId="4" fontId="6" fillId="13" borderId="1" xfId="0" applyNumberFormat="1" applyFont="1" applyFill="1" applyBorder="1" applyAlignment="1">
      <alignment horizontal="right"/>
    </xf>
    <xf numFmtId="164" fontId="6" fillId="13" borderId="1" xfId="0" applyNumberFormat="1" applyFont="1" applyFill="1" applyBorder="1" applyAlignment="1">
      <alignment horizontal="right"/>
    </xf>
    <xf numFmtId="165" fontId="6" fillId="13" borderId="4" xfId="0" applyNumberFormat="1" applyFont="1" applyFill="1" applyBorder="1" applyAlignment="1">
      <alignment horizontal="right"/>
    </xf>
    <xf numFmtId="164" fontId="6" fillId="13" borderId="1" xfId="0" applyNumberFormat="1" applyFont="1" applyFill="1" applyBorder="1" applyAlignment="1">
      <alignment horizontal="right"/>
    </xf>
    <xf numFmtId="165" fontId="6" fillId="13" borderId="4" xfId="0" applyNumberFormat="1" applyFont="1" applyFill="1" applyBorder="1" applyAlignment="1">
      <alignment horizontal="right"/>
    </xf>
    <xf numFmtId="4" fontId="5" fillId="12" borderId="1" xfId="0" applyNumberFormat="1" applyFont="1" applyFill="1" applyBorder="1" applyAlignment="1"/>
    <xf numFmtId="4" fontId="6" fillId="12" borderId="1" xfId="0" applyNumberFormat="1" applyFont="1" applyFill="1" applyBorder="1" applyAlignment="1">
      <alignment horizontal="right"/>
    </xf>
    <xf numFmtId="164" fontId="6" fillId="12" borderId="1" xfId="0" applyNumberFormat="1" applyFont="1" applyFill="1" applyBorder="1" applyAlignment="1">
      <alignment horizontal="right"/>
    </xf>
    <xf numFmtId="165" fontId="6" fillId="12" borderId="4" xfId="0" applyNumberFormat="1" applyFont="1" applyFill="1" applyBorder="1" applyAlignment="1">
      <alignment horizontal="right"/>
    </xf>
    <xf numFmtId="164" fontId="6" fillId="12" borderId="1" xfId="0" applyNumberFormat="1" applyFont="1" applyFill="1" applyBorder="1" applyAlignment="1">
      <alignment horizontal="right"/>
    </xf>
    <xf numFmtId="165" fontId="6" fillId="12" borderId="4" xfId="0" applyNumberFormat="1" applyFont="1" applyFill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2" fillId="0" borderId="3" xfId="0" applyFont="1" applyBorder="1" applyAlignment="1"/>
    <xf numFmtId="4" fontId="5" fillId="14" borderId="1" xfId="0" applyNumberFormat="1" applyFont="1" applyFill="1" applyBorder="1" applyAlignment="1"/>
    <xf numFmtId="4" fontId="6" fillId="14" borderId="1" xfId="0" applyNumberFormat="1" applyFont="1" applyFill="1" applyBorder="1" applyAlignment="1"/>
    <xf numFmtId="164" fontId="6" fillId="14" borderId="1" xfId="0" applyNumberFormat="1" applyFont="1" applyFill="1" applyBorder="1" applyAlignment="1"/>
    <xf numFmtId="165" fontId="6" fillId="14" borderId="4" xfId="0" applyNumberFormat="1" applyFont="1" applyFill="1" applyBorder="1" applyAlignment="1">
      <alignment horizontal="right"/>
    </xf>
    <xf numFmtId="164" fontId="6" fillId="14" borderId="1" xfId="0" applyNumberFormat="1" applyFont="1" applyFill="1" applyBorder="1" applyAlignment="1">
      <alignment horizontal="right"/>
    </xf>
    <xf numFmtId="165" fontId="6" fillId="14" borderId="4" xfId="0" applyNumberFormat="1" applyFont="1" applyFill="1" applyBorder="1" applyAlignment="1">
      <alignment horizontal="right"/>
    </xf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/>
    <xf numFmtId="2" fontId="2" fillId="16" borderId="4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>
      <alignment horizontal="right"/>
    </xf>
    <xf numFmtId="0" fontId="1" fillId="16" borderId="1" xfId="0" applyFont="1" applyFill="1" applyBorder="1" applyAlignment="1"/>
    <xf numFmtId="0" fontId="1" fillId="17" borderId="1" xfId="0" applyFont="1" applyFill="1" applyBorder="1" applyAlignment="1"/>
    <xf numFmtId="2" fontId="2" fillId="17" borderId="1" xfId="0" applyNumberFormat="1" applyFont="1" applyFill="1" applyBorder="1" applyAlignment="1"/>
    <xf numFmtId="2" fontId="2" fillId="17" borderId="1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/>
    <xf numFmtId="2" fontId="2" fillId="17" borderId="4" xfId="0" applyNumberFormat="1" applyFont="1" applyFill="1" applyBorder="1" applyAlignment="1">
      <alignment horizontal="right"/>
    </xf>
    <xf numFmtId="0" fontId="1" fillId="17" borderId="1" xfId="0" applyFont="1" applyFill="1" applyBorder="1" applyAlignment="1"/>
    <xf numFmtId="0" fontId="1" fillId="18" borderId="1" xfId="0" applyFont="1" applyFill="1" applyBorder="1" applyAlignment="1"/>
    <xf numFmtId="2" fontId="2" fillId="18" borderId="1" xfId="0" applyNumberFormat="1" applyFont="1" applyFill="1" applyBorder="1" applyAlignment="1"/>
    <xf numFmtId="2" fontId="2" fillId="18" borderId="1" xfId="0" applyNumberFormat="1" applyFont="1" applyFill="1" applyBorder="1" applyAlignment="1">
      <alignment horizontal="right"/>
    </xf>
    <xf numFmtId="2" fontId="2" fillId="18" borderId="1" xfId="0" applyNumberFormat="1" applyFont="1" applyFill="1" applyBorder="1" applyAlignment="1"/>
    <xf numFmtId="2" fontId="2" fillId="18" borderId="4" xfId="0" applyNumberFormat="1" applyFont="1" applyFill="1" applyBorder="1" applyAlignment="1">
      <alignment horizontal="right"/>
    </xf>
    <xf numFmtId="0" fontId="1" fillId="18" borderId="1" xfId="0" applyFont="1" applyFill="1" applyBorder="1" applyAlignment="1"/>
    <xf numFmtId="0" fontId="2" fillId="3" borderId="0" xfId="0" applyFont="1" applyFill="1" applyAlignment="1"/>
    <xf numFmtId="0" fontId="1" fillId="19" borderId="1" xfId="0" applyFont="1" applyFill="1" applyBorder="1" applyAlignment="1"/>
    <xf numFmtId="2" fontId="2" fillId="19" borderId="1" xfId="0" applyNumberFormat="1" applyFont="1" applyFill="1" applyBorder="1" applyAlignment="1"/>
    <xf numFmtId="2" fontId="2" fillId="19" borderId="1" xfId="0" applyNumberFormat="1" applyFont="1" applyFill="1" applyBorder="1" applyAlignment="1">
      <alignment horizontal="right"/>
    </xf>
    <xf numFmtId="2" fontId="2" fillId="19" borderId="1" xfId="0" applyNumberFormat="1" applyFont="1" applyFill="1" applyBorder="1" applyAlignment="1"/>
    <xf numFmtId="2" fontId="2" fillId="19" borderId="4" xfId="0" applyNumberFormat="1" applyFont="1" applyFill="1" applyBorder="1" applyAlignment="1">
      <alignment horizontal="right"/>
    </xf>
    <xf numFmtId="2" fontId="2" fillId="0" borderId="0" xfId="0" applyNumberFormat="1" applyFont="1" applyAlignment="1"/>
    <xf numFmtId="0" fontId="2" fillId="20" borderId="7" xfId="0" applyFont="1" applyFill="1" applyBorder="1" applyAlignment="1"/>
    <xf numFmtId="2" fontId="2" fillId="20" borderId="6" xfId="0" applyNumberFormat="1" applyFont="1" applyFill="1" applyBorder="1" applyAlignment="1"/>
    <xf numFmtId="0" fontId="2" fillId="20" borderId="5" xfId="0" applyFont="1" applyFill="1" applyBorder="1" applyAlignment="1"/>
    <xf numFmtId="2" fontId="2" fillId="20" borderId="1" xfId="0" applyNumberFormat="1" applyFont="1" applyFill="1" applyBorder="1" applyAlignment="1"/>
    <xf numFmtId="2" fontId="2" fillId="20" borderId="4" xfId="0" applyNumberFormat="1" applyFont="1" applyFill="1" applyBorder="1" applyAlignment="1">
      <alignment horizontal="right"/>
    </xf>
    <xf numFmtId="0" fontId="6" fillId="20" borderId="8" xfId="0" applyFont="1" applyFill="1" applyBorder="1" applyAlignment="1">
      <alignment horizontal="left"/>
    </xf>
    <xf numFmtId="2" fontId="2" fillId="20" borderId="9" xfId="0" applyNumberFormat="1" applyFont="1" applyFill="1" applyBorder="1" applyAlignment="1"/>
    <xf numFmtId="2" fontId="2" fillId="20" borderId="9" xfId="0" applyNumberFormat="1" applyFont="1" applyFill="1" applyBorder="1" applyAlignment="1"/>
    <xf numFmtId="166" fontId="2" fillId="5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026"/>
  <sheetViews>
    <sheetView tabSelected="1" topLeftCell="A114" workbookViewId="0">
      <selection activeCell="B142" sqref="B142"/>
    </sheetView>
  </sheetViews>
  <sheetFormatPr defaultColWidth="12.5703125" defaultRowHeight="15" customHeight="1" x14ac:dyDescent="0.2"/>
  <cols>
    <col min="1" max="1" width="42.5703125" customWidth="1"/>
    <col min="2" max="4" width="12.5703125" customWidth="1"/>
    <col min="5" max="5" width="10.85546875" customWidth="1"/>
  </cols>
  <sheetData>
    <row r="1" spans="1:11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 customHeight="1" x14ac:dyDescent="0.2">
      <c r="A3" s="3" t="s">
        <v>1</v>
      </c>
      <c r="B3" s="3" t="s">
        <v>2</v>
      </c>
      <c r="C3" s="3" t="s">
        <v>3</v>
      </c>
      <c r="D3" s="4" t="s">
        <v>4</v>
      </c>
      <c r="E3" s="5"/>
      <c r="F3" s="2"/>
      <c r="G3" s="2"/>
      <c r="H3" s="2"/>
    </row>
    <row r="4" spans="1:11" ht="15.75" customHeight="1" x14ac:dyDescent="0.2">
      <c r="A4" s="6" t="s">
        <v>5</v>
      </c>
      <c r="B4" s="7"/>
      <c r="C4" s="7"/>
      <c r="D4" s="8"/>
      <c r="E4" s="9"/>
      <c r="F4" s="2"/>
      <c r="G4" s="2"/>
      <c r="H4" s="2"/>
    </row>
    <row r="5" spans="1:11" ht="15.75" customHeight="1" x14ac:dyDescent="0.2">
      <c r="A5" s="6" t="s">
        <v>6</v>
      </c>
      <c r="B5" s="7"/>
      <c r="C5" s="7"/>
      <c r="D5" s="8"/>
      <c r="E5" s="9"/>
      <c r="F5" s="2"/>
      <c r="G5" s="2"/>
      <c r="H5" s="2"/>
    </row>
    <row r="6" spans="1:11" ht="15.75" customHeight="1" x14ac:dyDescent="0.2">
      <c r="A6" s="10" t="s">
        <v>7</v>
      </c>
      <c r="B6" s="11">
        <v>0</v>
      </c>
      <c r="C6" s="12">
        <v>24.85</v>
      </c>
      <c r="D6" s="13">
        <f t="shared" ref="D6:D13" si="0">SUM(B6*C6)</f>
        <v>0</v>
      </c>
      <c r="E6" s="9"/>
      <c r="F6" s="2"/>
      <c r="G6" s="2"/>
      <c r="H6" s="2"/>
    </row>
    <row r="7" spans="1:11" ht="15.75" customHeight="1" x14ac:dyDescent="0.2">
      <c r="A7" s="10" t="s">
        <v>8</v>
      </c>
      <c r="B7" s="11">
        <v>0.2</v>
      </c>
      <c r="C7" s="12">
        <v>24.85</v>
      </c>
      <c r="D7" s="13">
        <f t="shared" si="0"/>
        <v>4.9700000000000006</v>
      </c>
      <c r="E7" s="9"/>
      <c r="F7" s="2"/>
      <c r="G7" s="2"/>
      <c r="H7" s="2"/>
    </row>
    <row r="8" spans="1:11" ht="15.75" customHeight="1" x14ac:dyDescent="0.2">
      <c r="A8" s="10" t="s">
        <v>9</v>
      </c>
      <c r="B8" s="11">
        <v>0.1</v>
      </c>
      <c r="C8" s="12">
        <v>16.68</v>
      </c>
      <c r="D8" s="13">
        <f t="shared" si="0"/>
        <v>1.6680000000000001</v>
      </c>
      <c r="E8" s="9"/>
      <c r="F8" s="2"/>
      <c r="G8" s="2"/>
      <c r="H8" s="2"/>
    </row>
    <row r="9" spans="1:11" ht="15.75" customHeight="1" x14ac:dyDescent="0.2">
      <c r="A9" s="10" t="s">
        <v>10</v>
      </c>
      <c r="B9" s="11">
        <v>0</v>
      </c>
      <c r="C9" s="12">
        <v>24.85</v>
      </c>
      <c r="D9" s="13">
        <f t="shared" si="0"/>
        <v>0</v>
      </c>
      <c r="E9" s="9"/>
      <c r="F9" s="2"/>
      <c r="G9" s="2"/>
      <c r="H9" s="2"/>
    </row>
    <row r="10" spans="1:11" ht="15.75" customHeight="1" x14ac:dyDescent="0.2">
      <c r="A10" s="10" t="s">
        <v>11</v>
      </c>
      <c r="B10" s="11">
        <v>0.5</v>
      </c>
      <c r="C10" s="11">
        <v>17.989999999999998</v>
      </c>
      <c r="D10" s="13">
        <f t="shared" si="0"/>
        <v>8.9949999999999992</v>
      </c>
      <c r="E10" s="9"/>
      <c r="F10" s="2"/>
      <c r="G10" s="2"/>
      <c r="H10" s="2"/>
    </row>
    <row r="11" spans="1:11" ht="15.75" customHeight="1" x14ac:dyDescent="0.2">
      <c r="A11" s="10" t="s">
        <v>12</v>
      </c>
      <c r="B11" s="11">
        <v>0</v>
      </c>
      <c r="C11" s="12">
        <v>22.97</v>
      </c>
      <c r="D11" s="13">
        <f t="shared" si="0"/>
        <v>0</v>
      </c>
      <c r="E11" s="9"/>
      <c r="F11" s="2"/>
      <c r="G11" s="2"/>
      <c r="H11" s="2"/>
    </row>
    <row r="12" spans="1:11" ht="15.75" customHeight="1" x14ac:dyDescent="0.2">
      <c r="A12" s="10" t="s">
        <v>13</v>
      </c>
      <c r="B12" s="11">
        <v>0</v>
      </c>
      <c r="C12" s="12">
        <v>23.5</v>
      </c>
      <c r="D12" s="13">
        <f t="shared" si="0"/>
        <v>0</v>
      </c>
      <c r="E12" s="9"/>
      <c r="F12" s="2"/>
      <c r="G12" s="2"/>
      <c r="H12" s="2"/>
    </row>
    <row r="13" spans="1:11" ht="15.75" customHeight="1" x14ac:dyDescent="0.2">
      <c r="A13" s="10" t="s">
        <v>14</v>
      </c>
      <c r="B13" s="11">
        <f>3.25+2.1</f>
        <v>5.35</v>
      </c>
      <c r="C13" s="11">
        <v>12.99</v>
      </c>
      <c r="D13" s="13">
        <f t="shared" si="0"/>
        <v>69.496499999999997</v>
      </c>
      <c r="E13" s="9"/>
      <c r="F13" s="2"/>
      <c r="G13" s="2"/>
      <c r="H13" s="2"/>
    </row>
    <row r="14" spans="1:11" ht="15.75" customHeight="1" x14ac:dyDescent="0.2">
      <c r="A14" s="14"/>
      <c r="B14" s="15"/>
      <c r="C14" s="15"/>
      <c r="D14" s="16"/>
      <c r="E14" s="9"/>
      <c r="F14" s="2"/>
      <c r="G14" s="2"/>
      <c r="H14" s="2"/>
      <c r="I14" s="2"/>
      <c r="J14" s="2"/>
      <c r="K14" s="2"/>
    </row>
    <row r="15" spans="1:11" ht="15.75" customHeight="1" x14ac:dyDescent="0.2">
      <c r="A15" s="17" t="s">
        <v>15</v>
      </c>
      <c r="B15" s="18"/>
      <c r="C15" s="18"/>
      <c r="D15" s="19">
        <f t="shared" ref="D15:D21" si="1">SUM(B15*C15)</f>
        <v>0</v>
      </c>
      <c r="E15" s="9"/>
      <c r="F15" s="2"/>
      <c r="G15" s="2"/>
      <c r="H15" s="2"/>
      <c r="I15" s="2"/>
      <c r="J15" s="2"/>
      <c r="K15" s="2"/>
    </row>
    <row r="16" spans="1:11" ht="15.75" customHeight="1" x14ac:dyDescent="0.2">
      <c r="A16" s="17" t="s">
        <v>16</v>
      </c>
      <c r="B16" s="20">
        <v>1.55</v>
      </c>
      <c r="C16" s="20">
        <v>14.99</v>
      </c>
      <c r="D16" s="19">
        <f t="shared" si="1"/>
        <v>23.234500000000001</v>
      </c>
      <c r="E16" s="9"/>
    </row>
    <row r="17" spans="1:8" ht="15.75" customHeight="1" x14ac:dyDescent="0.2">
      <c r="A17" s="17" t="s">
        <v>17</v>
      </c>
      <c r="B17" s="20">
        <v>1.4</v>
      </c>
      <c r="C17" s="21">
        <v>16.190000000000001</v>
      </c>
      <c r="D17" s="19">
        <f t="shared" si="1"/>
        <v>22.666</v>
      </c>
      <c r="E17" s="9"/>
    </row>
    <row r="18" spans="1:8" ht="15.75" customHeight="1" x14ac:dyDescent="0.2">
      <c r="A18" s="17" t="s">
        <v>18</v>
      </c>
      <c r="B18" s="20">
        <v>0.6</v>
      </c>
      <c r="C18" s="21">
        <v>17.489999999999998</v>
      </c>
      <c r="D18" s="19">
        <f t="shared" si="1"/>
        <v>10.493999999999998</v>
      </c>
      <c r="E18" s="9"/>
      <c r="F18" s="2"/>
      <c r="G18" s="2"/>
      <c r="H18" s="2"/>
    </row>
    <row r="19" spans="1:8" ht="15.75" customHeight="1" x14ac:dyDescent="0.2">
      <c r="A19" s="17" t="s">
        <v>19</v>
      </c>
      <c r="B19" s="20">
        <v>2.1</v>
      </c>
      <c r="C19" s="21">
        <v>17.690000000000001</v>
      </c>
      <c r="D19" s="19">
        <f t="shared" si="1"/>
        <v>37.149000000000001</v>
      </c>
      <c r="E19" s="9"/>
    </row>
    <row r="20" spans="1:8" ht="15.75" customHeight="1" x14ac:dyDescent="0.2">
      <c r="A20" s="17" t="s">
        <v>20</v>
      </c>
      <c r="B20" s="20">
        <v>0.4</v>
      </c>
      <c r="C20" s="20">
        <v>11.99</v>
      </c>
      <c r="D20" s="19">
        <f t="shared" si="1"/>
        <v>4.7960000000000003</v>
      </c>
      <c r="E20" s="9"/>
    </row>
    <row r="21" spans="1:8" ht="15.75" customHeight="1" x14ac:dyDescent="0.2">
      <c r="A21" s="22" t="s">
        <v>21</v>
      </c>
      <c r="B21" s="20">
        <v>0.5</v>
      </c>
      <c r="C21" s="20">
        <v>24</v>
      </c>
      <c r="D21" s="19">
        <f t="shared" si="1"/>
        <v>12</v>
      </c>
      <c r="E21" s="9"/>
    </row>
    <row r="22" spans="1:8" ht="15.75" customHeight="1" x14ac:dyDescent="0.2">
      <c r="A22" s="14"/>
      <c r="B22" s="15"/>
      <c r="C22" s="15"/>
      <c r="D22" s="16"/>
      <c r="E22" s="9"/>
    </row>
    <row r="23" spans="1:8" ht="15.75" customHeight="1" x14ac:dyDescent="0.2">
      <c r="A23" s="23" t="s">
        <v>22</v>
      </c>
      <c r="B23" s="24"/>
      <c r="C23" s="24"/>
      <c r="D23" s="25">
        <f t="shared" ref="D23:D29" si="2">SUM(B23*C23)</f>
        <v>0</v>
      </c>
      <c r="E23" s="9"/>
    </row>
    <row r="24" spans="1:8" ht="15.75" customHeight="1" x14ac:dyDescent="0.2">
      <c r="A24" s="23" t="s">
        <v>23</v>
      </c>
      <c r="B24" s="26">
        <v>1.8</v>
      </c>
      <c r="C24" s="24">
        <v>14.89</v>
      </c>
      <c r="D24" s="25">
        <f t="shared" si="2"/>
        <v>26.802000000000003</v>
      </c>
      <c r="E24" s="9"/>
      <c r="F24" s="2"/>
      <c r="G24" s="2"/>
      <c r="H24" s="2"/>
    </row>
    <row r="25" spans="1:8" ht="15.75" customHeight="1" x14ac:dyDescent="0.2">
      <c r="A25" s="23" t="s">
        <v>24</v>
      </c>
      <c r="B25" s="27">
        <v>1.5</v>
      </c>
      <c r="C25" s="28">
        <v>23.49</v>
      </c>
      <c r="D25" s="25">
        <f t="shared" si="2"/>
        <v>35.234999999999999</v>
      </c>
      <c r="E25" s="9"/>
    </row>
    <row r="26" spans="1:8" ht="15.75" customHeight="1" x14ac:dyDescent="0.2">
      <c r="A26" s="23" t="s">
        <v>25</v>
      </c>
      <c r="B26" s="27">
        <v>2.5</v>
      </c>
      <c r="C26" s="28">
        <v>23.5</v>
      </c>
      <c r="D26" s="25">
        <f t="shared" si="2"/>
        <v>58.75</v>
      </c>
      <c r="E26" s="9"/>
    </row>
    <row r="27" spans="1:8" ht="15.75" customHeight="1" x14ac:dyDescent="0.2">
      <c r="A27" s="23" t="s">
        <v>26</v>
      </c>
      <c r="B27" s="27">
        <v>0.65</v>
      </c>
      <c r="C27" s="27">
        <v>18.989999999999998</v>
      </c>
      <c r="D27" s="25">
        <f t="shared" si="2"/>
        <v>12.343499999999999</v>
      </c>
      <c r="E27" s="9"/>
      <c r="F27" s="2"/>
      <c r="G27" s="2"/>
      <c r="H27" s="2"/>
    </row>
    <row r="28" spans="1:8" ht="15.75" customHeight="1" x14ac:dyDescent="0.2">
      <c r="A28" s="23" t="s">
        <v>27</v>
      </c>
      <c r="B28" s="27">
        <v>2.1</v>
      </c>
      <c r="C28" s="27">
        <v>18.989999999999998</v>
      </c>
      <c r="D28" s="25">
        <f t="shared" si="2"/>
        <v>39.878999999999998</v>
      </c>
      <c r="E28" s="9"/>
      <c r="F28" s="2"/>
      <c r="G28" s="2"/>
      <c r="H28" s="2"/>
    </row>
    <row r="29" spans="1:8" ht="15.75" customHeight="1" x14ac:dyDescent="0.2">
      <c r="A29" s="23" t="s">
        <v>28</v>
      </c>
      <c r="B29" s="27">
        <v>3</v>
      </c>
      <c r="C29" s="27">
        <v>18.989999999999998</v>
      </c>
      <c r="D29" s="25">
        <f t="shared" si="2"/>
        <v>56.97</v>
      </c>
      <c r="E29" s="9"/>
      <c r="F29" s="2"/>
      <c r="G29" s="2"/>
      <c r="H29" s="2"/>
    </row>
    <row r="30" spans="1:8" ht="15.75" customHeight="1" x14ac:dyDescent="0.2">
      <c r="A30" s="14"/>
      <c r="B30" s="15"/>
      <c r="C30" s="15"/>
      <c r="D30" s="16"/>
      <c r="E30" s="9"/>
      <c r="F30" s="2"/>
      <c r="G30" s="2"/>
      <c r="H30" s="2"/>
    </row>
    <row r="31" spans="1:8" ht="15.75" customHeight="1" x14ac:dyDescent="0.2">
      <c r="A31" s="29" t="s">
        <v>29</v>
      </c>
      <c r="B31" s="30"/>
      <c r="C31" s="30"/>
      <c r="D31" s="31">
        <f t="shared" ref="D31:D45" si="3">SUM(B31*C31)</f>
        <v>0</v>
      </c>
      <c r="E31" s="9"/>
      <c r="F31" s="2"/>
      <c r="G31" s="2"/>
      <c r="H31" s="2"/>
    </row>
    <row r="32" spans="1:8" ht="15.75" customHeight="1" x14ac:dyDescent="0.2">
      <c r="A32" s="29" t="s">
        <v>30</v>
      </c>
      <c r="B32" s="32">
        <v>0.85</v>
      </c>
      <c r="C32" s="33">
        <v>17.989999999999998</v>
      </c>
      <c r="D32" s="31">
        <f t="shared" si="3"/>
        <v>15.291499999999997</v>
      </c>
      <c r="E32" s="9"/>
      <c r="F32" s="2"/>
      <c r="G32" s="2"/>
      <c r="H32" s="2"/>
    </row>
    <row r="33" spans="1:8" ht="15.75" customHeight="1" x14ac:dyDescent="0.2">
      <c r="A33" s="29" t="s">
        <v>31</v>
      </c>
      <c r="B33" s="32">
        <v>0.6</v>
      </c>
      <c r="C33" s="32">
        <v>17.989999999999998</v>
      </c>
      <c r="D33" s="31">
        <f t="shared" si="3"/>
        <v>10.793999999999999</v>
      </c>
      <c r="E33" s="9"/>
      <c r="F33" s="2"/>
      <c r="G33" s="2"/>
      <c r="H33" s="2"/>
    </row>
    <row r="34" spans="1:8" ht="15.75" customHeight="1" x14ac:dyDescent="0.2">
      <c r="A34" s="29" t="s">
        <v>32</v>
      </c>
      <c r="B34" s="32">
        <v>1.55</v>
      </c>
      <c r="C34" s="32">
        <v>17.989999999999998</v>
      </c>
      <c r="D34" s="31">
        <f t="shared" si="3"/>
        <v>27.884499999999999</v>
      </c>
      <c r="E34" s="9"/>
      <c r="F34" s="2"/>
      <c r="G34" s="2"/>
      <c r="H34" s="2"/>
    </row>
    <row r="35" spans="1:8" ht="15.75" customHeight="1" x14ac:dyDescent="0.2">
      <c r="A35" s="29" t="s">
        <v>33</v>
      </c>
      <c r="B35" s="32">
        <v>1.5</v>
      </c>
      <c r="C35" s="33">
        <v>16.489999999999998</v>
      </c>
      <c r="D35" s="31">
        <f t="shared" si="3"/>
        <v>24.734999999999999</v>
      </c>
      <c r="E35" s="9"/>
      <c r="F35" s="2"/>
      <c r="G35" s="2"/>
      <c r="H35" s="2"/>
    </row>
    <row r="36" spans="1:8" ht="15.75" customHeight="1" x14ac:dyDescent="0.2">
      <c r="A36" s="29" t="s">
        <v>34</v>
      </c>
      <c r="B36" s="32">
        <v>0.55000000000000004</v>
      </c>
      <c r="C36" s="33">
        <v>28.5</v>
      </c>
      <c r="D36" s="31">
        <f t="shared" si="3"/>
        <v>15.675000000000001</v>
      </c>
      <c r="E36" s="9"/>
      <c r="F36" s="2"/>
      <c r="G36" s="2"/>
      <c r="H36" s="2"/>
    </row>
    <row r="37" spans="1:8" ht="15.75" customHeight="1" x14ac:dyDescent="0.2">
      <c r="A37" s="29" t="s">
        <v>35</v>
      </c>
      <c r="B37" s="32"/>
      <c r="C37" s="32">
        <v>23.49</v>
      </c>
      <c r="D37" s="31">
        <f t="shared" si="3"/>
        <v>0</v>
      </c>
      <c r="E37" s="9"/>
      <c r="F37" s="2"/>
      <c r="G37" s="2"/>
      <c r="H37" s="2"/>
    </row>
    <row r="38" spans="1:8" ht="15.75" customHeight="1" x14ac:dyDescent="0.2">
      <c r="A38" s="29" t="s">
        <v>36</v>
      </c>
      <c r="B38" s="32">
        <v>0.8</v>
      </c>
      <c r="C38" s="33">
        <v>20.99</v>
      </c>
      <c r="D38" s="31">
        <f t="shared" si="3"/>
        <v>16.791999999999998</v>
      </c>
      <c r="E38" s="9"/>
      <c r="F38" s="2"/>
      <c r="G38" s="2"/>
      <c r="H38" s="2"/>
    </row>
    <row r="39" spans="1:8" ht="15.75" customHeight="1" x14ac:dyDescent="0.2">
      <c r="A39" s="29" t="s">
        <v>37</v>
      </c>
      <c r="B39" s="32">
        <v>0.85</v>
      </c>
      <c r="C39" s="32">
        <v>14.99</v>
      </c>
      <c r="D39" s="31">
        <f t="shared" si="3"/>
        <v>12.7415</v>
      </c>
      <c r="E39" s="9"/>
      <c r="F39" s="2"/>
      <c r="G39" s="2"/>
      <c r="H39" s="2"/>
    </row>
    <row r="40" spans="1:8" ht="15.75" customHeight="1" x14ac:dyDescent="0.2">
      <c r="A40" s="29" t="s">
        <v>38</v>
      </c>
      <c r="B40" s="32"/>
      <c r="C40" s="33">
        <v>31.99</v>
      </c>
      <c r="D40" s="31">
        <f t="shared" si="3"/>
        <v>0</v>
      </c>
      <c r="E40" s="9"/>
      <c r="F40" s="2"/>
      <c r="G40" s="2"/>
      <c r="H40" s="2"/>
    </row>
    <row r="41" spans="1:8" ht="15.75" customHeight="1" x14ac:dyDescent="0.2">
      <c r="A41" s="34" t="s">
        <v>39</v>
      </c>
      <c r="B41" s="32"/>
      <c r="C41" s="32">
        <v>28</v>
      </c>
      <c r="D41" s="31">
        <f t="shared" si="3"/>
        <v>0</v>
      </c>
      <c r="E41" s="9"/>
      <c r="F41" s="2"/>
      <c r="G41" s="2"/>
      <c r="H41" s="2"/>
    </row>
    <row r="42" spans="1:8" ht="15.75" customHeight="1" x14ac:dyDescent="0.2">
      <c r="A42" s="29" t="s">
        <v>40</v>
      </c>
      <c r="B42" s="32">
        <v>0.6</v>
      </c>
      <c r="C42" s="32">
        <v>15.99</v>
      </c>
      <c r="D42" s="31">
        <f t="shared" si="3"/>
        <v>9.5939999999999994</v>
      </c>
      <c r="E42" s="9"/>
      <c r="F42" s="2"/>
      <c r="G42" s="2"/>
      <c r="H42" s="2"/>
    </row>
    <row r="43" spans="1:8" ht="15.75" customHeight="1" x14ac:dyDescent="0.2">
      <c r="A43" s="29" t="s">
        <v>41</v>
      </c>
      <c r="B43" s="32">
        <v>0.8</v>
      </c>
      <c r="C43" s="33">
        <v>20.29</v>
      </c>
      <c r="D43" s="31">
        <f t="shared" si="3"/>
        <v>16.231999999999999</v>
      </c>
      <c r="E43" s="9"/>
      <c r="F43" s="2"/>
      <c r="G43" s="2"/>
      <c r="H43" s="2"/>
    </row>
    <row r="44" spans="1:8" ht="15.75" customHeight="1" x14ac:dyDescent="0.2">
      <c r="A44" s="29" t="s">
        <v>42</v>
      </c>
      <c r="B44" s="32">
        <v>0.4</v>
      </c>
      <c r="C44" s="32">
        <v>12.49</v>
      </c>
      <c r="D44" s="31">
        <f t="shared" si="3"/>
        <v>4.9960000000000004</v>
      </c>
      <c r="E44" s="9"/>
      <c r="F44" s="2"/>
      <c r="G44" s="2"/>
      <c r="H44" s="2"/>
    </row>
    <row r="45" spans="1:8" ht="15.75" customHeight="1" x14ac:dyDescent="0.2">
      <c r="A45" s="29" t="s">
        <v>43</v>
      </c>
      <c r="B45" s="32">
        <v>0.9</v>
      </c>
      <c r="C45" s="33">
        <v>16.989999999999998</v>
      </c>
      <c r="D45" s="31">
        <f t="shared" si="3"/>
        <v>15.290999999999999</v>
      </c>
      <c r="E45" s="9"/>
      <c r="F45" s="2"/>
      <c r="G45" s="2"/>
      <c r="H45" s="2"/>
    </row>
    <row r="46" spans="1:8" ht="15.75" customHeight="1" x14ac:dyDescent="0.2">
      <c r="A46" s="14"/>
      <c r="B46" s="15"/>
      <c r="C46" s="15"/>
      <c r="D46" s="16"/>
      <c r="E46" s="9"/>
      <c r="F46" s="2"/>
      <c r="G46" s="2"/>
      <c r="H46" s="2"/>
    </row>
    <row r="47" spans="1:8" ht="15.75" customHeight="1" x14ac:dyDescent="0.2">
      <c r="A47" s="35" t="s">
        <v>44</v>
      </c>
      <c r="B47" s="36"/>
      <c r="C47" s="36"/>
      <c r="D47" s="37"/>
      <c r="E47" s="9"/>
      <c r="F47" s="2"/>
      <c r="G47" s="2"/>
      <c r="H47" s="2"/>
    </row>
    <row r="48" spans="1:8" ht="15.75" customHeight="1" x14ac:dyDescent="0.2">
      <c r="A48" s="35" t="s">
        <v>45</v>
      </c>
      <c r="B48" s="38">
        <v>0.9</v>
      </c>
      <c r="C48" s="39">
        <v>16.489999999999998</v>
      </c>
      <c r="D48" s="37">
        <f t="shared" ref="D48:D51" si="4">SUM(B48*C48)</f>
        <v>14.840999999999999</v>
      </c>
      <c r="E48" s="9"/>
      <c r="F48" s="2"/>
      <c r="G48" s="2"/>
      <c r="H48" s="2"/>
    </row>
    <row r="49" spans="1:11" ht="15.75" customHeight="1" x14ac:dyDescent="0.2">
      <c r="A49" s="35" t="s">
        <v>46</v>
      </c>
      <c r="B49" s="38">
        <v>3</v>
      </c>
      <c r="C49" s="39">
        <v>12.49</v>
      </c>
      <c r="D49" s="37">
        <f t="shared" si="4"/>
        <v>37.47</v>
      </c>
      <c r="E49" s="9"/>
      <c r="F49" s="2"/>
      <c r="G49" s="2"/>
      <c r="H49" s="2"/>
    </row>
    <row r="50" spans="1:11" ht="15.75" customHeight="1" x14ac:dyDescent="0.2">
      <c r="A50" s="35" t="s">
        <v>47</v>
      </c>
      <c r="B50" s="38">
        <v>1.1000000000000001</v>
      </c>
      <c r="C50" s="39">
        <v>12.49</v>
      </c>
      <c r="D50" s="37">
        <f t="shared" si="4"/>
        <v>13.739000000000001</v>
      </c>
      <c r="E50" s="9"/>
      <c r="F50" s="2"/>
      <c r="G50" s="2"/>
      <c r="H50" s="2"/>
    </row>
    <row r="51" spans="1:11" ht="15.75" customHeight="1" x14ac:dyDescent="0.2">
      <c r="A51" s="35" t="s">
        <v>48</v>
      </c>
      <c r="B51" s="38">
        <v>0.8</v>
      </c>
      <c r="C51" s="38">
        <v>8.99</v>
      </c>
      <c r="D51" s="37">
        <f t="shared" si="4"/>
        <v>7.1920000000000002</v>
      </c>
      <c r="E51" s="9"/>
      <c r="F51" s="2"/>
      <c r="G51" s="2"/>
      <c r="H51" s="2"/>
    </row>
    <row r="52" spans="1:11" ht="15.75" customHeight="1" x14ac:dyDescent="0.2">
      <c r="A52" s="35" t="s">
        <v>49</v>
      </c>
      <c r="B52" s="38"/>
      <c r="C52" s="39">
        <v>11.99</v>
      </c>
      <c r="D52" s="37"/>
      <c r="E52" s="9"/>
      <c r="F52" s="2"/>
      <c r="G52" s="2"/>
      <c r="H52" s="2"/>
    </row>
    <row r="53" spans="1:11" ht="15.75" customHeight="1" x14ac:dyDescent="0.2">
      <c r="A53" s="35" t="s">
        <v>50</v>
      </c>
      <c r="B53" s="38">
        <v>1.7</v>
      </c>
      <c r="C53" s="38">
        <v>12.99</v>
      </c>
      <c r="D53" s="37">
        <f t="shared" ref="D53:D64" si="5">SUM(B53*C53)</f>
        <v>22.082999999999998</v>
      </c>
      <c r="E53" s="9"/>
      <c r="F53" s="2"/>
      <c r="G53" s="2"/>
      <c r="H53" s="2"/>
    </row>
    <row r="54" spans="1:11" ht="15.75" customHeight="1" x14ac:dyDescent="0.2">
      <c r="A54" s="35" t="s">
        <v>51</v>
      </c>
      <c r="B54" s="38">
        <v>0.6</v>
      </c>
      <c r="C54" s="38">
        <v>11.99</v>
      </c>
      <c r="D54" s="37">
        <f t="shared" si="5"/>
        <v>7.194</v>
      </c>
      <c r="E54" s="9"/>
      <c r="F54" s="2"/>
      <c r="G54" s="2"/>
      <c r="H54" s="2"/>
      <c r="I54" s="2"/>
      <c r="J54" s="2"/>
      <c r="K54" s="2"/>
    </row>
    <row r="55" spans="1:11" ht="15.75" customHeight="1" x14ac:dyDescent="0.2">
      <c r="A55" s="35" t="s">
        <v>52</v>
      </c>
      <c r="B55" s="38">
        <v>4</v>
      </c>
      <c r="C55" s="39">
        <v>11.99</v>
      </c>
      <c r="D55" s="37">
        <f t="shared" si="5"/>
        <v>47.96</v>
      </c>
      <c r="E55" s="9"/>
      <c r="F55" s="2"/>
      <c r="G55" s="2"/>
      <c r="H55" s="2"/>
      <c r="I55" s="2"/>
      <c r="J55" s="2"/>
      <c r="K55" s="2"/>
    </row>
    <row r="56" spans="1:11" ht="15.75" customHeight="1" x14ac:dyDescent="0.2">
      <c r="A56" s="35" t="s">
        <v>53</v>
      </c>
      <c r="B56" s="38">
        <v>0.5</v>
      </c>
      <c r="C56" s="39">
        <v>12.29</v>
      </c>
      <c r="D56" s="37">
        <f t="shared" si="5"/>
        <v>6.1449999999999996</v>
      </c>
      <c r="E56" s="9"/>
      <c r="F56" s="2"/>
      <c r="G56" s="2"/>
      <c r="H56" s="2"/>
      <c r="I56" s="2"/>
      <c r="J56" s="2"/>
      <c r="K56" s="2"/>
    </row>
    <row r="57" spans="1:11" ht="15.75" customHeight="1" x14ac:dyDescent="0.2">
      <c r="A57" s="35" t="s">
        <v>54</v>
      </c>
      <c r="B57" s="38">
        <v>0.8</v>
      </c>
      <c r="C57" s="38">
        <v>11.49</v>
      </c>
      <c r="D57" s="37">
        <f t="shared" si="5"/>
        <v>9.1920000000000002</v>
      </c>
      <c r="E57" s="9"/>
      <c r="F57" s="2"/>
      <c r="G57" s="2"/>
      <c r="H57" s="2"/>
      <c r="I57" s="2"/>
      <c r="J57" s="2"/>
      <c r="K57" s="2"/>
    </row>
    <row r="58" spans="1:11" ht="15.75" customHeight="1" x14ac:dyDescent="0.2">
      <c r="A58" s="35" t="s">
        <v>55</v>
      </c>
      <c r="B58" s="38">
        <v>0.4</v>
      </c>
      <c r="C58" s="39">
        <v>9.99</v>
      </c>
      <c r="D58" s="37">
        <f t="shared" si="5"/>
        <v>3.9960000000000004</v>
      </c>
      <c r="E58" s="9"/>
      <c r="F58" s="2"/>
      <c r="G58" s="2"/>
      <c r="H58" s="2"/>
      <c r="I58" s="2"/>
      <c r="J58" s="2"/>
      <c r="K58" s="2"/>
    </row>
    <row r="59" spans="1:11" ht="15.75" customHeight="1" x14ac:dyDescent="0.2">
      <c r="A59" s="35" t="s">
        <v>56</v>
      </c>
      <c r="B59" s="38">
        <v>0.9</v>
      </c>
      <c r="C59" s="39">
        <v>14.99</v>
      </c>
      <c r="D59" s="37">
        <f t="shared" si="5"/>
        <v>13.491</v>
      </c>
      <c r="E59" s="9"/>
      <c r="F59" s="2"/>
      <c r="G59" s="2"/>
      <c r="H59" s="2"/>
      <c r="I59" s="2"/>
      <c r="J59" s="2"/>
      <c r="K59" s="2"/>
    </row>
    <row r="60" spans="1:11" ht="15.75" customHeight="1" x14ac:dyDescent="0.2">
      <c r="A60" s="35" t="s">
        <v>57</v>
      </c>
      <c r="B60" s="38">
        <v>0.35</v>
      </c>
      <c r="C60" s="39">
        <v>11.99</v>
      </c>
      <c r="D60" s="37">
        <f t="shared" si="5"/>
        <v>4.1964999999999995</v>
      </c>
      <c r="E60" s="9"/>
      <c r="F60" s="2"/>
      <c r="G60" s="2"/>
      <c r="H60" s="2"/>
      <c r="I60" s="2"/>
      <c r="J60" s="2"/>
      <c r="K60" s="2"/>
    </row>
    <row r="61" spans="1:11" ht="15.75" customHeight="1" x14ac:dyDescent="0.2">
      <c r="A61" s="35" t="s">
        <v>58</v>
      </c>
      <c r="B61" s="38">
        <v>1.6</v>
      </c>
      <c r="C61" s="39">
        <v>14</v>
      </c>
      <c r="D61" s="37">
        <f t="shared" si="5"/>
        <v>22.400000000000002</v>
      </c>
      <c r="E61" s="9"/>
      <c r="F61" s="2"/>
      <c r="G61" s="2"/>
      <c r="H61" s="2"/>
      <c r="I61" s="2"/>
      <c r="J61" s="2"/>
      <c r="K61" s="2"/>
    </row>
    <row r="62" spans="1:11" ht="15.75" customHeight="1" x14ac:dyDescent="0.2">
      <c r="A62" s="40" t="s">
        <v>59</v>
      </c>
      <c r="B62" s="38">
        <v>2.6</v>
      </c>
      <c r="C62" s="39">
        <v>11.99</v>
      </c>
      <c r="D62" s="37">
        <f t="shared" si="5"/>
        <v>31.174000000000003</v>
      </c>
      <c r="E62" s="9"/>
      <c r="F62" s="2"/>
      <c r="G62" s="2"/>
      <c r="H62" s="2"/>
      <c r="I62" s="2"/>
      <c r="J62" s="2"/>
      <c r="K62" s="2"/>
    </row>
    <row r="63" spans="1:11" ht="15.75" customHeight="1" x14ac:dyDescent="0.2">
      <c r="A63" s="40" t="s">
        <v>60</v>
      </c>
      <c r="B63" s="38">
        <v>0.4</v>
      </c>
      <c r="C63" s="38">
        <v>14.99</v>
      </c>
      <c r="D63" s="37">
        <f t="shared" si="5"/>
        <v>5.9960000000000004</v>
      </c>
      <c r="E63" s="9"/>
      <c r="F63" s="2"/>
      <c r="G63" s="2"/>
      <c r="H63" s="2"/>
      <c r="I63" s="2"/>
      <c r="J63" s="2"/>
      <c r="K63" s="2"/>
    </row>
    <row r="64" spans="1:11" ht="15.75" customHeight="1" x14ac:dyDescent="0.2">
      <c r="A64" s="40" t="s">
        <v>61</v>
      </c>
      <c r="B64" s="38">
        <v>1</v>
      </c>
      <c r="C64" s="38">
        <v>350</v>
      </c>
      <c r="D64" s="37">
        <f t="shared" si="5"/>
        <v>350</v>
      </c>
      <c r="E64" s="9"/>
      <c r="F64" s="2"/>
      <c r="G64" s="2"/>
      <c r="H64" s="2"/>
      <c r="I64" s="2"/>
      <c r="J64" s="2"/>
      <c r="K64" s="2"/>
    </row>
    <row r="65" spans="1:11" ht="15.75" customHeight="1" x14ac:dyDescent="0.2">
      <c r="A65" s="14"/>
      <c r="B65" s="15"/>
      <c r="C65" s="15"/>
      <c r="D65" s="16"/>
      <c r="E65" s="9"/>
      <c r="F65" s="2"/>
      <c r="G65" s="2"/>
      <c r="H65" s="2"/>
      <c r="I65" s="2"/>
      <c r="J65" s="2"/>
      <c r="K65" s="2"/>
    </row>
    <row r="66" spans="1:11" ht="15.75" customHeight="1" x14ac:dyDescent="0.2">
      <c r="A66" s="14"/>
      <c r="B66" s="15"/>
      <c r="C66" s="15"/>
      <c r="D66" s="16"/>
      <c r="E66" s="9"/>
      <c r="F66" s="2"/>
      <c r="G66" s="2"/>
      <c r="H66" s="2"/>
      <c r="I66" s="2"/>
      <c r="J66" s="2"/>
      <c r="K66" s="2"/>
    </row>
    <row r="67" spans="1:11" ht="15.75" customHeight="1" x14ac:dyDescent="0.2">
      <c r="A67" s="41" t="s">
        <v>62</v>
      </c>
      <c r="B67" s="42"/>
      <c r="C67" s="42"/>
      <c r="D67" s="43">
        <f t="shared" ref="D67:D69" si="6">SUM(B67*C67)</f>
        <v>0</v>
      </c>
      <c r="E67" s="9"/>
      <c r="F67" s="2"/>
      <c r="G67" s="2"/>
      <c r="H67" s="2"/>
      <c r="I67" s="2"/>
      <c r="J67" s="2"/>
      <c r="K67" s="2"/>
    </row>
    <row r="68" spans="1:11" ht="15.75" customHeight="1" x14ac:dyDescent="0.2">
      <c r="A68" s="41" t="s">
        <v>63</v>
      </c>
      <c r="B68" s="44"/>
      <c r="C68" s="45">
        <v>6.99</v>
      </c>
      <c r="D68" s="43">
        <f t="shared" si="6"/>
        <v>0</v>
      </c>
      <c r="E68" s="9"/>
      <c r="F68" s="2"/>
      <c r="G68" s="2"/>
      <c r="H68" s="2"/>
      <c r="I68" s="2"/>
      <c r="J68" s="2"/>
      <c r="K68" s="2"/>
    </row>
    <row r="69" spans="1:11" ht="15.75" customHeight="1" x14ac:dyDescent="0.2">
      <c r="A69" s="41" t="s">
        <v>64</v>
      </c>
      <c r="B69" s="44"/>
      <c r="C69" s="45">
        <v>0</v>
      </c>
      <c r="D69" s="43">
        <f t="shared" si="6"/>
        <v>0</v>
      </c>
      <c r="E69" s="9"/>
      <c r="F69" s="2"/>
      <c r="G69" s="2"/>
      <c r="H69" s="2"/>
      <c r="I69" s="2"/>
      <c r="J69" s="2"/>
      <c r="K69" s="2"/>
    </row>
    <row r="70" spans="1:11" ht="15.75" customHeight="1" x14ac:dyDescent="0.2">
      <c r="A70" s="14"/>
      <c r="B70" s="15"/>
      <c r="C70" s="15"/>
      <c r="D70" s="16"/>
      <c r="E70" s="9"/>
      <c r="F70" s="2"/>
      <c r="G70" s="2"/>
      <c r="H70" s="2"/>
      <c r="I70" s="2"/>
      <c r="J70" s="2"/>
      <c r="K70" s="2"/>
    </row>
    <row r="71" spans="1:11" ht="15.75" customHeight="1" x14ac:dyDescent="0.2">
      <c r="A71" s="46" t="s">
        <v>65</v>
      </c>
      <c r="B71" s="15"/>
      <c r="C71" s="15"/>
      <c r="D71" s="16"/>
      <c r="E71" s="9"/>
      <c r="F71" s="2"/>
      <c r="G71" s="2"/>
      <c r="H71" s="2"/>
      <c r="I71" s="2"/>
      <c r="J71" s="2"/>
      <c r="K71" s="2"/>
    </row>
    <row r="72" spans="1:11" ht="15.75" customHeight="1" x14ac:dyDescent="0.2">
      <c r="A72" s="47" t="s">
        <v>66</v>
      </c>
      <c r="B72" s="48"/>
      <c r="C72" s="48"/>
      <c r="D72" s="49">
        <f t="shared" ref="D72:D76" si="7">SUM(B72*C72)</f>
        <v>0</v>
      </c>
      <c r="E72" s="9"/>
      <c r="F72" s="2"/>
      <c r="G72" s="2"/>
      <c r="H72" s="2"/>
      <c r="I72" s="2"/>
      <c r="J72" s="2"/>
      <c r="K72" s="2"/>
    </row>
    <row r="73" spans="1:11" ht="15.75" customHeight="1" x14ac:dyDescent="0.2">
      <c r="A73" s="47" t="s">
        <v>67</v>
      </c>
      <c r="B73" s="50"/>
      <c r="C73" s="51">
        <v>7.59</v>
      </c>
      <c r="D73" s="49">
        <f t="shared" si="7"/>
        <v>0</v>
      </c>
      <c r="E73" s="9"/>
      <c r="F73" s="2"/>
      <c r="G73" s="2"/>
      <c r="H73" s="2"/>
      <c r="I73" s="2"/>
      <c r="J73" s="2"/>
      <c r="K73" s="2"/>
    </row>
    <row r="74" spans="1:11" ht="15.75" customHeight="1" x14ac:dyDescent="0.2">
      <c r="A74" s="52" t="s">
        <v>68</v>
      </c>
      <c r="B74" s="50">
        <v>10.9</v>
      </c>
      <c r="C74" s="50">
        <v>6.71</v>
      </c>
      <c r="D74" s="49">
        <f t="shared" si="7"/>
        <v>73.138999999999996</v>
      </c>
      <c r="E74" s="9"/>
      <c r="F74" s="2"/>
      <c r="G74" s="2"/>
      <c r="H74" s="2"/>
      <c r="I74" s="2"/>
      <c r="J74" s="2"/>
      <c r="K74" s="2"/>
    </row>
    <row r="75" spans="1:11" ht="15.75" customHeight="1" x14ac:dyDescent="0.2">
      <c r="A75" s="47" t="s">
        <v>69</v>
      </c>
      <c r="B75" s="50">
        <v>4.5</v>
      </c>
      <c r="C75" s="53">
        <v>5.39</v>
      </c>
      <c r="D75" s="49">
        <f t="shared" si="7"/>
        <v>24.254999999999999</v>
      </c>
      <c r="E75" s="9"/>
      <c r="F75" s="2"/>
      <c r="G75" s="2"/>
      <c r="H75" s="2"/>
      <c r="I75" s="2"/>
      <c r="J75" s="2"/>
      <c r="K75" s="2"/>
    </row>
    <row r="76" spans="1:11" ht="15.75" customHeight="1" x14ac:dyDescent="0.2">
      <c r="A76" s="47"/>
      <c r="B76" s="51"/>
      <c r="C76" s="51"/>
      <c r="D76" s="49">
        <f t="shared" si="7"/>
        <v>0</v>
      </c>
      <c r="E76" s="9"/>
      <c r="F76" s="2"/>
      <c r="G76" s="2"/>
      <c r="H76" s="2"/>
      <c r="I76" s="2"/>
      <c r="J76" s="2"/>
      <c r="K76" s="2"/>
    </row>
    <row r="77" spans="1:11" ht="15.75" customHeight="1" x14ac:dyDescent="0.2">
      <c r="A77" s="54"/>
      <c r="B77" s="55"/>
      <c r="C77" s="55"/>
      <c r="D77" s="16"/>
      <c r="E77" s="9"/>
      <c r="F77" s="2"/>
      <c r="G77" s="2"/>
      <c r="H77" s="2"/>
      <c r="I77" s="2"/>
      <c r="J77" s="2"/>
      <c r="K77" s="2"/>
    </row>
    <row r="78" spans="1:11" ht="15.75" customHeight="1" x14ac:dyDescent="0.2">
      <c r="A78" s="56" t="s">
        <v>70</v>
      </c>
      <c r="B78" s="57"/>
      <c r="C78" s="57"/>
      <c r="D78" s="58"/>
      <c r="E78" s="9"/>
      <c r="F78" s="2"/>
      <c r="G78" s="2"/>
      <c r="H78" s="2"/>
      <c r="I78" s="2"/>
      <c r="J78" s="2"/>
      <c r="K78" s="2"/>
    </row>
    <row r="79" spans="1:11" ht="15.75" customHeight="1" x14ac:dyDescent="0.2">
      <c r="A79" s="56" t="s">
        <v>71</v>
      </c>
      <c r="B79" s="59">
        <v>11.9</v>
      </c>
      <c r="C79" s="59">
        <v>7.25</v>
      </c>
      <c r="D79" s="58">
        <f t="shared" ref="D79:D82" si="8">SUM(B79*C79)</f>
        <v>86.275000000000006</v>
      </c>
      <c r="E79" s="9"/>
      <c r="F79" s="2"/>
      <c r="G79" s="2"/>
      <c r="H79" s="2"/>
    </row>
    <row r="80" spans="1:11" ht="15.75" customHeight="1" x14ac:dyDescent="0.2">
      <c r="A80" s="60" t="s">
        <v>72</v>
      </c>
      <c r="B80" s="59">
        <v>1.9</v>
      </c>
      <c r="C80" s="59">
        <v>5.45</v>
      </c>
      <c r="D80" s="58">
        <f t="shared" si="8"/>
        <v>10.355</v>
      </c>
      <c r="E80" s="9"/>
      <c r="F80" s="2"/>
      <c r="G80" s="2"/>
      <c r="H80" s="2"/>
    </row>
    <row r="81" spans="1:11" ht="15.75" customHeight="1" x14ac:dyDescent="0.2">
      <c r="A81" s="56" t="s">
        <v>73</v>
      </c>
      <c r="B81" s="59">
        <f>8.5+13.1</f>
        <v>21.6</v>
      </c>
      <c r="C81" s="57">
        <v>5.88</v>
      </c>
      <c r="D81" s="58">
        <f t="shared" si="8"/>
        <v>127.00800000000001</v>
      </c>
      <c r="E81" s="9"/>
      <c r="F81" s="2"/>
      <c r="G81" s="2"/>
      <c r="H81" s="2"/>
    </row>
    <row r="82" spans="1:11" ht="15.75" customHeight="1" x14ac:dyDescent="0.2">
      <c r="A82" s="56" t="s">
        <v>74</v>
      </c>
      <c r="B82" s="59">
        <v>4.5</v>
      </c>
      <c r="C82" s="57">
        <v>5.56</v>
      </c>
      <c r="D82" s="58">
        <f t="shared" si="8"/>
        <v>25.02</v>
      </c>
      <c r="E82" s="9"/>
      <c r="F82" s="2"/>
      <c r="G82" s="2"/>
      <c r="H82" s="2"/>
    </row>
    <row r="83" spans="1:11" ht="15.75" customHeight="1" x14ac:dyDescent="0.2">
      <c r="A83" s="46"/>
      <c r="B83" s="55"/>
      <c r="C83" s="55"/>
      <c r="D83" s="16"/>
      <c r="E83" s="9"/>
      <c r="F83" s="2"/>
      <c r="G83" s="2"/>
      <c r="H83" s="2"/>
    </row>
    <row r="84" spans="1:11" ht="15.75" customHeight="1" x14ac:dyDescent="0.2">
      <c r="A84" s="61" t="s">
        <v>75</v>
      </c>
      <c r="B84" s="62"/>
      <c r="C84" s="62"/>
      <c r="D84" s="63"/>
      <c r="E84" s="9"/>
      <c r="F84" s="2"/>
      <c r="G84" s="2"/>
      <c r="H84" s="2"/>
    </row>
    <row r="85" spans="1:11" ht="15.75" customHeight="1" x14ac:dyDescent="0.2">
      <c r="A85" s="61" t="s">
        <v>76</v>
      </c>
      <c r="B85" s="64">
        <v>12.6</v>
      </c>
      <c r="C85" s="62">
        <v>5.53</v>
      </c>
      <c r="D85" s="63">
        <f t="shared" ref="D85:D86" si="9">SUM(B85*C85)</f>
        <v>69.677999999999997</v>
      </c>
      <c r="E85" s="9"/>
      <c r="F85" s="2"/>
      <c r="G85" s="2"/>
      <c r="H85" s="2"/>
    </row>
    <row r="86" spans="1:11" ht="15.75" customHeight="1" x14ac:dyDescent="0.2">
      <c r="A86" s="61" t="s">
        <v>77</v>
      </c>
      <c r="B86" s="64">
        <v>13</v>
      </c>
      <c r="C86" s="64">
        <v>5.96</v>
      </c>
      <c r="D86" s="63">
        <f t="shared" si="9"/>
        <v>77.48</v>
      </c>
      <c r="E86" s="9"/>
      <c r="F86" s="2"/>
      <c r="G86" s="2"/>
      <c r="H86" s="2"/>
    </row>
    <row r="87" spans="1:11" ht="15.75" customHeight="1" x14ac:dyDescent="0.2">
      <c r="A87" s="46"/>
      <c r="B87" s="55"/>
      <c r="C87" s="55"/>
      <c r="D87" s="16"/>
      <c r="E87" s="9"/>
      <c r="F87" s="2"/>
      <c r="G87" s="2"/>
      <c r="H87" s="2"/>
    </row>
    <row r="88" spans="1:11" ht="15.75" customHeight="1" x14ac:dyDescent="0.2">
      <c r="A88" s="65" t="s">
        <v>78</v>
      </c>
      <c r="B88" s="66"/>
      <c r="C88" s="66"/>
      <c r="D88" s="67"/>
      <c r="E88" s="9"/>
      <c r="F88" s="2"/>
      <c r="G88" s="2"/>
      <c r="H88" s="2"/>
      <c r="I88" s="2"/>
      <c r="J88" s="2"/>
      <c r="K88" s="2"/>
    </row>
    <row r="89" spans="1:11" ht="15.75" customHeight="1" x14ac:dyDescent="0.2">
      <c r="A89" s="65" t="s">
        <v>79</v>
      </c>
      <c r="B89" s="68">
        <v>6.5</v>
      </c>
      <c r="C89" s="69">
        <v>6.99</v>
      </c>
      <c r="D89" s="67">
        <f t="shared" ref="D89:D91" si="10">SUM(B89*C89)</f>
        <v>45.435000000000002</v>
      </c>
      <c r="E89" s="9"/>
      <c r="F89" s="2"/>
      <c r="G89" s="2"/>
      <c r="H89" s="2"/>
      <c r="I89" s="2"/>
      <c r="J89" s="2"/>
      <c r="K89" s="2"/>
    </row>
    <row r="90" spans="1:11" ht="15.75" customHeight="1" x14ac:dyDescent="0.2">
      <c r="A90" s="65" t="s">
        <v>80</v>
      </c>
      <c r="B90" s="68"/>
      <c r="C90" s="69">
        <v>7.16</v>
      </c>
      <c r="D90" s="67">
        <f t="shared" si="10"/>
        <v>0</v>
      </c>
      <c r="E90" s="9"/>
      <c r="F90" s="2"/>
      <c r="G90" s="2"/>
      <c r="H90" s="2"/>
      <c r="I90" s="2"/>
      <c r="J90" s="2"/>
      <c r="K90" s="2"/>
    </row>
    <row r="91" spans="1:11" ht="15.75" customHeight="1" x14ac:dyDescent="0.2">
      <c r="A91" s="65" t="s">
        <v>81</v>
      </c>
      <c r="B91" s="68">
        <v>13</v>
      </c>
      <c r="C91" s="69">
        <v>5.66</v>
      </c>
      <c r="D91" s="67">
        <f t="shared" si="10"/>
        <v>73.58</v>
      </c>
      <c r="E91" s="9"/>
      <c r="F91" s="2"/>
      <c r="G91" s="2"/>
      <c r="H91" s="2"/>
      <c r="I91" s="2"/>
      <c r="J91" s="2"/>
      <c r="K91" s="2"/>
    </row>
    <row r="92" spans="1:11" ht="15.75" customHeight="1" x14ac:dyDescent="0.2">
      <c r="A92" s="14"/>
      <c r="B92" s="15"/>
      <c r="C92" s="15"/>
      <c r="D92" s="16"/>
      <c r="E92" s="9"/>
      <c r="F92" s="2"/>
      <c r="G92" s="2"/>
      <c r="H92" s="2"/>
      <c r="I92" s="2"/>
      <c r="J92" s="2"/>
      <c r="K92" s="2"/>
    </row>
    <row r="93" spans="1:11" ht="15.75" customHeight="1" x14ac:dyDescent="0.2">
      <c r="A93" s="70" t="s">
        <v>82</v>
      </c>
      <c r="B93" s="71"/>
      <c r="C93" s="71"/>
      <c r="D93" s="72"/>
      <c r="E93" s="9"/>
      <c r="F93" s="2"/>
      <c r="G93" s="2"/>
      <c r="H93" s="2"/>
      <c r="I93" s="2"/>
      <c r="J93" s="2"/>
      <c r="K93" s="2"/>
    </row>
    <row r="94" spans="1:11" ht="15.75" customHeight="1" x14ac:dyDescent="0.2">
      <c r="A94" s="73" t="s">
        <v>83</v>
      </c>
      <c r="B94" s="74">
        <v>2.5</v>
      </c>
      <c r="C94" s="74">
        <v>1.0900000000000001</v>
      </c>
      <c r="D94" s="72">
        <f t="shared" ref="D94:D106" si="11">SUM(B94*C94)</f>
        <v>2.7250000000000001</v>
      </c>
      <c r="E94" s="9"/>
    </row>
    <row r="95" spans="1:11" ht="15.75" customHeight="1" x14ac:dyDescent="0.2">
      <c r="A95" s="73" t="s">
        <v>84</v>
      </c>
      <c r="B95" s="74">
        <v>21</v>
      </c>
      <c r="C95" s="74">
        <v>1.1599999999999999</v>
      </c>
      <c r="D95" s="72">
        <f t="shared" si="11"/>
        <v>24.36</v>
      </c>
      <c r="E95" s="9"/>
    </row>
    <row r="96" spans="1:11" ht="15.75" customHeight="1" x14ac:dyDescent="0.2">
      <c r="A96" s="73" t="s">
        <v>85</v>
      </c>
      <c r="B96" s="74">
        <v>2.6</v>
      </c>
      <c r="C96" s="75">
        <v>2.99</v>
      </c>
      <c r="D96" s="72">
        <f t="shared" si="11"/>
        <v>7.7740000000000009</v>
      </c>
      <c r="E96" s="9"/>
      <c r="F96" s="2"/>
      <c r="G96" s="2"/>
      <c r="H96" s="2"/>
      <c r="I96" s="2"/>
      <c r="J96" s="2"/>
      <c r="K96" s="2"/>
    </row>
    <row r="97" spans="1:11" ht="15.75" customHeight="1" x14ac:dyDescent="0.2">
      <c r="A97" s="73" t="s">
        <v>86</v>
      </c>
      <c r="B97" s="74">
        <v>4.9000000000000004</v>
      </c>
      <c r="C97" s="75">
        <v>2.99</v>
      </c>
      <c r="D97" s="72">
        <f t="shared" si="11"/>
        <v>14.651000000000002</v>
      </c>
      <c r="E97" s="9"/>
      <c r="F97" s="2"/>
      <c r="G97" s="2"/>
      <c r="H97" s="2"/>
      <c r="I97" s="2"/>
      <c r="J97" s="2"/>
      <c r="K97" s="2"/>
    </row>
    <row r="98" spans="1:11" ht="15.75" customHeight="1" x14ac:dyDescent="0.2">
      <c r="A98" s="73" t="s">
        <v>87</v>
      </c>
      <c r="B98" s="74">
        <v>5.5</v>
      </c>
      <c r="C98" s="75">
        <v>2.99</v>
      </c>
      <c r="D98" s="72">
        <f t="shared" si="11"/>
        <v>16.445</v>
      </c>
      <c r="E98" s="9"/>
      <c r="F98" s="2"/>
      <c r="G98" s="2"/>
      <c r="H98" s="2"/>
      <c r="I98" s="2"/>
      <c r="J98" s="2"/>
      <c r="K98" s="2"/>
    </row>
    <row r="99" spans="1:11" ht="15.75" customHeight="1" x14ac:dyDescent="0.2">
      <c r="A99" s="73" t="s">
        <v>88</v>
      </c>
      <c r="B99" s="74">
        <v>2</v>
      </c>
      <c r="C99" s="74">
        <v>0.75</v>
      </c>
      <c r="D99" s="72">
        <f t="shared" si="11"/>
        <v>1.5</v>
      </c>
      <c r="E99" s="9"/>
      <c r="F99" s="2"/>
      <c r="G99" s="2"/>
      <c r="H99" s="2"/>
      <c r="I99" s="2"/>
      <c r="J99" s="2"/>
      <c r="K99" s="2"/>
    </row>
    <row r="100" spans="1:11" ht="15.75" customHeight="1" x14ac:dyDescent="0.2">
      <c r="A100" s="73" t="s">
        <v>89</v>
      </c>
      <c r="B100" s="74">
        <v>11</v>
      </c>
      <c r="C100" s="74">
        <v>0.7</v>
      </c>
      <c r="D100" s="72">
        <f t="shared" si="11"/>
        <v>7.6999999999999993</v>
      </c>
      <c r="E100" s="9"/>
      <c r="F100" s="2"/>
      <c r="G100" s="2"/>
      <c r="H100" s="2"/>
      <c r="I100" s="2"/>
      <c r="J100" s="2"/>
      <c r="K100" s="2"/>
    </row>
    <row r="101" spans="1:11" ht="15.75" customHeight="1" x14ac:dyDescent="0.2">
      <c r="A101" s="73" t="s">
        <v>90</v>
      </c>
      <c r="B101" s="74">
        <v>1</v>
      </c>
      <c r="C101" s="74">
        <v>0.7</v>
      </c>
      <c r="D101" s="72">
        <f t="shared" si="11"/>
        <v>0.7</v>
      </c>
      <c r="E101" s="9"/>
      <c r="F101" s="2"/>
      <c r="G101" s="2"/>
      <c r="H101" s="2"/>
      <c r="I101" s="2"/>
      <c r="J101" s="2"/>
      <c r="K101" s="2"/>
    </row>
    <row r="102" spans="1:11" ht="15.75" customHeight="1" x14ac:dyDescent="0.2">
      <c r="A102" s="73" t="s">
        <v>91</v>
      </c>
      <c r="B102" s="74">
        <v>21</v>
      </c>
      <c r="C102" s="74">
        <v>0.94</v>
      </c>
      <c r="D102" s="72">
        <f t="shared" si="11"/>
        <v>19.739999999999998</v>
      </c>
      <c r="E102" s="9"/>
      <c r="F102" s="2"/>
      <c r="G102" s="2"/>
      <c r="H102" s="2"/>
      <c r="I102" s="2"/>
      <c r="J102" s="2"/>
      <c r="K102" s="2"/>
    </row>
    <row r="103" spans="1:11" ht="15.75" customHeight="1" x14ac:dyDescent="0.2">
      <c r="A103" s="73" t="s">
        <v>92</v>
      </c>
      <c r="B103" s="74">
        <v>3</v>
      </c>
      <c r="C103" s="74">
        <v>1.24</v>
      </c>
      <c r="D103" s="72">
        <f t="shared" si="11"/>
        <v>3.7199999999999998</v>
      </c>
      <c r="E103" s="9"/>
      <c r="F103" s="2"/>
      <c r="G103" s="2"/>
      <c r="H103" s="2"/>
      <c r="I103" s="2"/>
      <c r="J103" s="2"/>
      <c r="K103" s="2"/>
    </row>
    <row r="104" spans="1:11" ht="15.75" customHeight="1" x14ac:dyDescent="0.2">
      <c r="A104" s="73" t="s">
        <v>93</v>
      </c>
      <c r="B104" s="74">
        <v>6.5</v>
      </c>
      <c r="C104" s="75">
        <v>5.05</v>
      </c>
      <c r="D104" s="72">
        <f t="shared" si="11"/>
        <v>32.824999999999996</v>
      </c>
      <c r="E104" s="9"/>
      <c r="F104" s="2"/>
      <c r="G104" s="2"/>
      <c r="H104" s="2"/>
      <c r="I104" s="2"/>
      <c r="J104" s="2"/>
      <c r="K104" s="2"/>
    </row>
    <row r="105" spans="1:11" ht="15.75" customHeight="1" x14ac:dyDescent="0.2">
      <c r="A105" s="76" t="s">
        <v>94</v>
      </c>
      <c r="B105" s="74">
        <v>40</v>
      </c>
      <c r="C105" s="74">
        <v>0.15</v>
      </c>
      <c r="D105" s="72">
        <f t="shared" si="11"/>
        <v>6</v>
      </c>
      <c r="E105" s="9"/>
      <c r="F105" s="2"/>
      <c r="G105" s="2"/>
      <c r="H105" s="2"/>
      <c r="I105" s="2"/>
      <c r="J105" s="2"/>
      <c r="K105" s="2"/>
    </row>
    <row r="106" spans="1:11" ht="15.75" customHeight="1" x14ac:dyDescent="0.2">
      <c r="A106" s="76" t="s">
        <v>95</v>
      </c>
      <c r="B106" s="74"/>
      <c r="C106" s="74">
        <v>0.55000000000000004</v>
      </c>
      <c r="D106" s="72">
        <f t="shared" si="11"/>
        <v>0</v>
      </c>
      <c r="E106" s="9"/>
      <c r="F106" s="2"/>
      <c r="G106" s="2"/>
      <c r="H106" s="2"/>
      <c r="I106" s="2"/>
      <c r="J106" s="2"/>
      <c r="K106" s="2"/>
    </row>
    <row r="107" spans="1:11" ht="15.75" customHeight="1" x14ac:dyDescent="0.2">
      <c r="A107" s="73"/>
      <c r="B107" s="74"/>
      <c r="C107" s="75"/>
      <c r="D107" s="72"/>
      <c r="E107" s="9"/>
      <c r="F107" s="2"/>
      <c r="G107" s="2"/>
      <c r="H107" s="2"/>
      <c r="I107" s="2"/>
      <c r="J107" s="2"/>
      <c r="K107" s="2"/>
    </row>
    <row r="108" spans="1:11" ht="15.75" customHeight="1" x14ac:dyDescent="0.2">
      <c r="A108" s="77" t="s">
        <v>65</v>
      </c>
      <c r="B108" s="78"/>
      <c r="C108" s="79"/>
      <c r="D108" s="80"/>
      <c r="E108" s="9"/>
      <c r="F108" s="2"/>
      <c r="G108" s="2"/>
      <c r="H108" s="2"/>
      <c r="I108" s="2"/>
      <c r="J108" s="2"/>
      <c r="K108" s="2"/>
    </row>
    <row r="109" spans="1:11" ht="15.75" customHeight="1" x14ac:dyDescent="0.2">
      <c r="A109" s="81" t="s">
        <v>66</v>
      </c>
      <c r="B109" s="82"/>
      <c r="C109" s="83"/>
      <c r="D109" s="84"/>
      <c r="E109" s="9"/>
      <c r="F109" s="2"/>
      <c r="G109" s="2"/>
      <c r="H109" s="2"/>
      <c r="I109" s="2"/>
      <c r="J109" s="2"/>
      <c r="K109" s="2"/>
    </row>
    <row r="110" spans="1:11" ht="15.75" customHeight="1" x14ac:dyDescent="0.2">
      <c r="A110" s="81" t="s">
        <v>96</v>
      </c>
      <c r="B110" s="85"/>
      <c r="C110" s="86">
        <v>5.98</v>
      </c>
      <c r="D110" s="87">
        <v>0</v>
      </c>
      <c r="E110" s="9"/>
      <c r="F110" s="2"/>
      <c r="G110" s="2"/>
      <c r="H110" s="2"/>
      <c r="I110" s="2"/>
      <c r="J110" s="2"/>
      <c r="K110" s="2"/>
    </row>
    <row r="111" spans="1:11" ht="15.75" customHeight="1" x14ac:dyDescent="0.2">
      <c r="A111" s="81" t="s">
        <v>97</v>
      </c>
      <c r="B111" s="85"/>
      <c r="C111" s="86">
        <v>7.23</v>
      </c>
      <c r="D111" s="87">
        <v>0</v>
      </c>
      <c r="E111" s="9"/>
      <c r="F111" s="2"/>
      <c r="G111" s="2"/>
      <c r="H111" s="2"/>
      <c r="I111" s="2"/>
      <c r="J111" s="2"/>
      <c r="K111" s="2"/>
    </row>
    <row r="112" spans="1:11" ht="15.75" customHeight="1" x14ac:dyDescent="0.2">
      <c r="A112" s="54"/>
      <c r="B112" s="15"/>
      <c r="C112" s="15"/>
      <c r="D112" s="16"/>
      <c r="E112" s="9"/>
      <c r="F112" s="2"/>
      <c r="G112" s="2"/>
      <c r="H112" s="2"/>
      <c r="I112" s="2"/>
      <c r="J112" s="2"/>
      <c r="K112" s="2"/>
    </row>
    <row r="113" spans="1:11" ht="15.75" customHeight="1" x14ac:dyDescent="0.2">
      <c r="A113" s="88" t="s">
        <v>70</v>
      </c>
      <c r="B113" s="89"/>
      <c r="C113" s="90"/>
      <c r="D113" s="91"/>
      <c r="E113" s="9"/>
      <c r="F113" s="2"/>
      <c r="G113" s="2"/>
      <c r="H113" s="2"/>
      <c r="I113" s="2"/>
      <c r="J113" s="2"/>
      <c r="K113" s="2"/>
    </row>
    <row r="114" spans="1:11" ht="15.75" customHeight="1" x14ac:dyDescent="0.2">
      <c r="A114" s="88" t="s">
        <v>98</v>
      </c>
      <c r="B114" s="89"/>
      <c r="C114" s="92">
        <v>5.41</v>
      </c>
      <c r="D114" s="93">
        <v>0</v>
      </c>
      <c r="E114" s="9"/>
      <c r="F114" s="2"/>
      <c r="G114" s="2"/>
      <c r="H114" s="2"/>
      <c r="I114" s="2"/>
      <c r="J114" s="2"/>
      <c r="K114" s="2"/>
    </row>
    <row r="115" spans="1:11" ht="15.75" customHeight="1" x14ac:dyDescent="0.2">
      <c r="A115" s="88" t="s">
        <v>99</v>
      </c>
      <c r="B115" s="89"/>
      <c r="C115" s="92">
        <v>5.8</v>
      </c>
      <c r="D115" s="93">
        <v>0</v>
      </c>
      <c r="E115" s="9"/>
      <c r="F115" s="2"/>
      <c r="G115" s="2"/>
      <c r="H115" s="2"/>
      <c r="I115" s="2"/>
      <c r="J115" s="2"/>
      <c r="K115" s="2"/>
    </row>
    <row r="116" spans="1:11" ht="15.75" customHeight="1" x14ac:dyDescent="0.2">
      <c r="A116" s="88" t="s">
        <v>100</v>
      </c>
      <c r="B116" s="89"/>
      <c r="C116" s="92">
        <v>7</v>
      </c>
      <c r="D116" s="93">
        <v>0</v>
      </c>
      <c r="E116" s="9"/>
      <c r="F116" s="2"/>
      <c r="G116" s="2"/>
      <c r="H116" s="2"/>
      <c r="I116" s="2"/>
      <c r="J116" s="2"/>
      <c r="K116" s="2"/>
    </row>
    <row r="117" spans="1:11" ht="15.75" customHeight="1" x14ac:dyDescent="0.2">
      <c r="A117" s="54"/>
      <c r="B117" s="15"/>
      <c r="C117" s="15"/>
      <c r="D117" s="16"/>
      <c r="E117" s="9"/>
      <c r="F117" s="2"/>
      <c r="G117" s="2"/>
      <c r="H117" s="2"/>
      <c r="I117" s="2"/>
      <c r="J117" s="2"/>
      <c r="K117" s="2"/>
    </row>
    <row r="118" spans="1:11" ht="15.75" customHeight="1" x14ac:dyDescent="0.2">
      <c r="A118" s="94" t="s">
        <v>75</v>
      </c>
      <c r="B118" s="95"/>
      <c r="C118" s="96"/>
      <c r="D118" s="97"/>
      <c r="E118" s="9"/>
      <c r="F118" s="2"/>
      <c r="G118" s="2"/>
      <c r="H118" s="2"/>
      <c r="I118" s="2"/>
      <c r="J118" s="2"/>
      <c r="K118" s="2"/>
    </row>
    <row r="119" spans="1:11" ht="15.75" customHeight="1" x14ac:dyDescent="0.2">
      <c r="A119" s="94" t="s">
        <v>101</v>
      </c>
      <c r="B119" s="95"/>
      <c r="C119" s="98">
        <v>5.35</v>
      </c>
      <c r="D119" s="99">
        <v>0</v>
      </c>
      <c r="E119" s="9"/>
      <c r="F119" s="2"/>
      <c r="G119" s="2"/>
      <c r="H119" s="2"/>
      <c r="I119" s="2"/>
      <c r="J119" s="2"/>
      <c r="K119" s="2"/>
    </row>
    <row r="120" spans="1:11" ht="15.75" customHeight="1" x14ac:dyDescent="0.2">
      <c r="A120" s="94" t="s">
        <v>102</v>
      </c>
      <c r="B120" s="95"/>
      <c r="C120" s="98">
        <v>5.8</v>
      </c>
      <c r="D120" s="99">
        <v>0</v>
      </c>
      <c r="E120" s="9"/>
      <c r="F120" s="2"/>
      <c r="G120" s="2"/>
      <c r="H120" s="2"/>
      <c r="I120" s="2"/>
      <c r="J120" s="2"/>
      <c r="K120" s="2"/>
    </row>
    <row r="121" spans="1:11" ht="15.75" customHeight="1" x14ac:dyDescent="0.2">
      <c r="A121" s="77"/>
      <c r="B121" s="100"/>
      <c r="C121" s="101"/>
      <c r="D121" s="102"/>
      <c r="E121" s="103"/>
      <c r="F121" s="2"/>
      <c r="G121" s="2"/>
      <c r="H121" s="2"/>
      <c r="I121" s="2"/>
      <c r="J121" s="2"/>
      <c r="K121" s="2"/>
    </row>
    <row r="122" spans="1:11" ht="15.75" customHeight="1" x14ac:dyDescent="0.2">
      <c r="A122" s="104" t="s">
        <v>78</v>
      </c>
      <c r="B122" s="105"/>
      <c r="C122" s="106"/>
      <c r="D122" s="107"/>
      <c r="E122" s="103"/>
      <c r="F122" s="2"/>
      <c r="G122" s="2"/>
      <c r="H122" s="2"/>
      <c r="I122" s="2"/>
      <c r="J122" s="2"/>
      <c r="K122" s="2"/>
    </row>
    <row r="123" spans="1:11" ht="15.75" customHeight="1" x14ac:dyDescent="0.2">
      <c r="A123" s="104" t="s">
        <v>103</v>
      </c>
      <c r="B123" s="105"/>
      <c r="C123" s="108">
        <v>6.92</v>
      </c>
      <c r="D123" s="109">
        <v>0</v>
      </c>
      <c r="E123" s="103"/>
      <c r="F123" s="2"/>
      <c r="G123" s="2"/>
      <c r="H123" s="2"/>
      <c r="I123" s="2"/>
      <c r="J123" s="2"/>
      <c r="K123" s="2"/>
    </row>
    <row r="124" spans="1:11" ht="15.75" customHeight="1" x14ac:dyDescent="0.2">
      <c r="A124" s="104" t="s">
        <v>104</v>
      </c>
      <c r="B124" s="105"/>
      <c r="C124" s="108">
        <v>7.21</v>
      </c>
      <c r="D124" s="109">
        <v>0</v>
      </c>
      <c r="E124" s="103"/>
      <c r="F124" s="2"/>
      <c r="G124" s="2"/>
      <c r="H124" s="2"/>
      <c r="I124" s="2"/>
      <c r="J124" s="2"/>
      <c r="K124" s="2"/>
    </row>
    <row r="125" spans="1:11" ht="15.75" customHeight="1" x14ac:dyDescent="0.2">
      <c r="A125" s="104" t="s">
        <v>105</v>
      </c>
      <c r="B125" s="105"/>
      <c r="C125" s="108">
        <v>5.74</v>
      </c>
      <c r="D125" s="109">
        <v>0</v>
      </c>
      <c r="E125" s="103"/>
      <c r="F125" s="2"/>
      <c r="G125" s="2"/>
      <c r="H125" s="2"/>
      <c r="I125" s="2"/>
      <c r="J125" s="2"/>
      <c r="K125" s="2"/>
    </row>
    <row r="126" spans="1:11" ht="15.75" customHeight="1" x14ac:dyDescent="0.2">
      <c r="A126" s="77"/>
      <c r="B126" s="100"/>
      <c r="C126" s="101"/>
      <c r="D126" s="102"/>
      <c r="E126" s="103"/>
      <c r="F126" s="2"/>
      <c r="G126" s="2"/>
      <c r="H126" s="2"/>
      <c r="I126" s="2"/>
      <c r="J126" s="2"/>
      <c r="K126" s="2"/>
    </row>
    <row r="127" spans="1:11" ht="15.75" customHeight="1" x14ac:dyDescent="0.2">
      <c r="A127" s="110" t="s">
        <v>106</v>
      </c>
      <c r="B127" s="111"/>
      <c r="C127" s="111"/>
      <c r="D127" s="112"/>
      <c r="E127" s="9"/>
      <c r="F127" s="2"/>
      <c r="G127" s="2"/>
      <c r="H127" s="2"/>
      <c r="I127" s="2"/>
      <c r="J127" s="2"/>
      <c r="K127" s="2"/>
    </row>
    <row r="128" spans="1:11" ht="15.75" customHeight="1" x14ac:dyDescent="0.2">
      <c r="A128" s="110" t="s">
        <v>107</v>
      </c>
      <c r="B128" s="113">
        <v>17</v>
      </c>
      <c r="C128" s="114">
        <v>1.37</v>
      </c>
      <c r="D128" s="112">
        <f t="shared" ref="D128:D145" si="12">SUM(B128*C128)</f>
        <v>23.290000000000003</v>
      </c>
      <c r="E128" s="9"/>
      <c r="F128" s="2"/>
      <c r="G128" s="2"/>
      <c r="H128" s="2"/>
      <c r="I128" s="2"/>
      <c r="J128" s="2"/>
      <c r="K128" s="2"/>
    </row>
    <row r="129" spans="1:11" ht="15.75" customHeight="1" x14ac:dyDescent="0.2">
      <c r="A129" s="110" t="s">
        <v>108</v>
      </c>
      <c r="B129" s="113">
        <v>27</v>
      </c>
      <c r="C129" s="114">
        <v>1.37</v>
      </c>
      <c r="D129" s="112">
        <f t="shared" si="12"/>
        <v>36.99</v>
      </c>
      <c r="E129" s="9"/>
      <c r="F129" s="2"/>
      <c r="G129" s="2"/>
      <c r="H129" s="2"/>
      <c r="I129" s="2"/>
      <c r="J129" s="2"/>
      <c r="K129" s="2"/>
    </row>
    <row r="130" spans="1:11" ht="15.75" customHeight="1" x14ac:dyDescent="0.2">
      <c r="A130" s="115" t="s">
        <v>109</v>
      </c>
      <c r="B130" s="113">
        <v>1</v>
      </c>
      <c r="C130" s="114">
        <v>1.19</v>
      </c>
      <c r="D130" s="112">
        <f t="shared" si="12"/>
        <v>1.19</v>
      </c>
      <c r="E130" s="9"/>
      <c r="F130" s="2"/>
      <c r="G130" s="2"/>
      <c r="H130" s="2"/>
      <c r="I130" s="2"/>
      <c r="J130" s="2"/>
      <c r="K130" s="2"/>
    </row>
    <row r="131" spans="1:11" ht="15.75" customHeight="1" x14ac:dyDescent="0.2">
      <c r="A131" s="110" t="s">
        <v>110</v>
      </c>
      <c r="B131" s="113">
        <v>4</v>
      </c>
      <c r="C131" s="114">
        <v>1.08</v>
      </c>
      <c r="D131" s="112">
        <f t="shared" si="12"/>
        <v>4.32</v>
      </c>
      <c r="E131" s="9"/>
      <c r="F131" s="2"/>
      <c r="G131" s="2"/>
      <c r="H131" s="2"/>
      <c r="I131" s="2"/>
      <c r="J131" s="2"/>
      <c r="K131" s="2"/>
    </row>
    <row r="132" spans="1:11" ht="15.75" customHeight="1" x14ac:dyDescent="0.2">
      <c r="A132" s="110" t="s">
        <v>111</v>
      </c>
      <c r="B132" s="113">
        <v>1</v>
      </c>
      <c r="C132" s="113">
        <v>0.94</v>
      </c>
      <c r="D132" s="112">
        <f t="shared" si="12"/>
        <v>0.94</v>
      </c>
      <c r="E132" s="9"/>
      <c r="F132" s="2"/>
      <c r="G132" s="2"/>
      <c r="H132" s="2"/>
      <c r="I132" s="2"/>
      <c r="J132" s="2"/>
      <c r="K132" s="2"/>
    </row>
    <row r="133" spans="1:11" ht="15.75" customHeight="1" x14ac:dyDescent="0.2">
      <c r="A133" s="115" t="s">
        <v>112</v>
      </c>
      <c r="B133" s="113"/>
      <c r="C133" s="113">
        <v>0.94</v>
      </c>
      <c r="D133" s="112">
        <f t="shared" si="12"/>
        <v>0</v>
      </c>
      <c r="E133" s="9"/>
      <c r="F133" s="2"/>
      <c r="G133" s="2"/>
      <c r="H133" s="2"/>
      <c r="I133" s="2"/>
      <c r="J133" s="2"/>
      <c r="K133" s="2"/>
    </row>
    <row r="134" spans="1:11" ht="15.75" customHeight="1" x14ac:dyDescent="0.2">
      <c r="A134" s="110" t="s">
        <v>113</v>
      </c>
      <c r="B134" s="113"/>
      <c r="C134" s="114">
        <v>6.27</v>
      </c>
      <c r="D134" s="112">
        <f t="shared" si="12"/>
        <v>0</v>
      </c>
      <c r="E134" s="9"/>
      <c r="F134" s="2"/>
      <c r="G134" s="2"/>
      <c r="H134" s="2"/>
      <c r="I134" s="2"/>
      <c r="J134" s="2"/>
      <c r="K134" s="2"/>
    </row>
    <row r="135" spans="1:11" ht="15.75" customHeight="1" x14ac:dyDescent="0.2">
      <c r="A135" s="115" t="s">
        <v>114</v>
      </c>
      <c r="B135" s="113">
        <v>1</v>
      </c>
      <c r="C135" s="113">
        <v>1.1200000000000001</v>
      </c>
      <c r="D135" s="112">
        <f t="shared" si="12"/>
        <v>1.1200000000000001</v>
      </c>
      <c r="E135" s="9"/>
      <c r="F135" s="2"/>
      <c r="G135" s="2"/>
      <c r="H135" s="2"/>
      <c r="I135" s="2"/>
      <c r="J135" s="2"/>
      <c r="K135" s="2"/>
    </row>
    <row r="136" spans="1:11" ht="15.75" customHeight="1" x14ac:dyDescent="0.2">
      <c r="A136" s="110" t="s">
        <v>115</v>
      </c>
      <c r="B136" s="113"/>
      <c r="C136" s="114">
        <v>2.1</v>
      </c>
      <c r="D136" s="112">
        <f t="shared" si="12"/>
        <v>0</v>
      </c>
      <c r="E136" s="9"/>
      <c r="F136" s="2"/>
      <c r="G136" s="2"/>
      <c r="H136" s="2"/>
      <c r="I136" s="2"/>
      <c r="J136" s="2"/>
      <c r="K136" s="2"/>
    </row>
    <row r="137" spans="1:11" ht="15.75" customHeight="1" x14ac:dyDescent="0.2">
      <c r="A137" s="110" t="s">
        <v>116</v>
      </c>
      <c r="B137" s="113"/>
      <c r="C137" s="114">
        <v>1.75</v>
      </c>
      <c r="D137" s="112">
        <f t="shared" si="12"/>
        <v>0</v>
      </c>
      <c r="E137" s="9"/>
      <c r="F137" s="2"/>
      <c r="G137" s="2"/>
      <c r="H137" s="2"/>
      <c r="I137" s="2"/>
      <c r="J137" s="2"/>
      <c r="K137" s="2"/>
    </row>
    <row r="138" spans="1:11" ht="15.75" customHeight="1" x14ac:dyDescent="0.2">
      <c r="A138" s="110" t="s">
        <v>117</v>
      </c>
      <c r="B138" s="113"/>
      <c r="C138" s="114">
        <v>2.41</v>
      </c>
      <c r="D138" s="112">
        <f t="shared" si="12"/>
        <v>0</v>
      </c>
      <c r="E138" s="9"/>
      <c r="F138" s="2"/>
      <c r="G138" s="2"/>
      <c r="H138" s="2"/>
      <c r="I138" s="2"/>
      <c r="J138" s="2"/>
      <c r="K138" s="2"/>
    </row>
    <row r="139" spans="1:11" ht="15.75" customHeight="1" x14ac:dyDescent="0.2">
      <c r="A139" s="110" t="s">
        <v>118</v>
      </c>
      <c r="B139" s="113">
        <f>22+46+350</f>
        <v>418</v>
      </c>
      <c r="C139" s="114">
        <v>1.7</v>
      </c>
      <c r="D139" s="112">
        <f t="shared" si="12"/>
        <v>710.6</v>
      </c>
      <c r="E139" s="9"/>
      <c r="F139" s="2"/>
      <c r="G139" s="2"/>
      <c r="H139" s="2"/>
      <c r="I139" s="2"/>
      <c r="J139" s="2"/>
      <c r="K139" s="2"/>
    </row>
    <row r="140" spans="1:11" ht="15.75" customHeight="1" x14ac:dyDescent="0.2">
      <c r="A140" s="110" t="s">
        <v>119</v>
      </c>
      <c r="B140" s="113">
        <v>16</v>
      </c>
      <c r="C140" s="114">
        <v>1.02</v>
      </c>
      <c r="D140" s="112">
        <f t="shared" si="12"/>
        <v>16.32</v>
      </c>
      <c r="E140" s="9"/>
      <c r="F140" s="2"/>
      <c r="G140" s="2"/>
      <c r="H140" s="2"/>
      <c r="I140" s="2"/>
      <c r="J140" s="2"/>
      <c r="K140" s="2"/>
    </row>
    <row r="141" spans="1:11" ht="15.75" customHeight="1" x14ac:dyDescent="0.2">
      <c r="A141" s="115" t="s">
        <v>120</v>
      </c>
      <c r="B141" s="113">
        <v>445</v>
      </c>
      <c r="C141" s="113">
        <v>1.33</v>
      </c>
      <c r="D141" s="112">
        <f t="shared" si="12"/>
        <v>591.85</v>
      </c>
      <c r="E141" s="9"/>
      <c r="F141" s="2"/>
      <c r="G141" s="2"/>
      <c r="H141" s="2"/>
      <c r="I141" s="2"/>
      <c r="J141" s="2"/>
      <c r="K141" s="2"/>
    </row>
    <row r="142" spans="1:11" ht="15.75" customHeight="1" x14ac:dyDescent="0.2">
      <c r="A142" s="110" t="s">
        <v>121</v>
      </c>
      <c r="B142" s="113"/>
      <c r="C142" s="114">
        <v>0.89</v>
      </c>
      <c r="D142" s="112">
        <f t="shared" si="12"/>
        <v>0</v>
      </c>
      <c r="E142" s="9"/>
      <c r="F142" s="2"/>
      <c r="G142" s="2"/>
      <c r="H142" s="2"/>
      <c r="I142" s="2"/>
      <c r="J142" s="2"/>
      <c r="K142" s="2"/>
    </row>
    <row r="143" spans="1:11" ht="15.75" customHeight="1" x14ac:dyDescent="0.2">
      <c r="A143" s="115" t="s">
        <v>122</v>
      </c>
      <c r="B143" s="113">
        <v>1</v>
      </c>
      <c r="C143" s="113">
        <v>1.5</v>
      </c>
      <c r="D143" s="112">
        <f t="shared" si="12"/>
        <v>1.5</v>
      </c>
      <c r="E143" s="9"/>
      <c r="F143" s="2"/>
      <c r="G143" s="2"/>
      <c r="H143" s="2"/>
      <c r="I143" s="2"/>
      <c r="J143" s="2"/>
      <c r="K143" s="2"/>
    </row>
    <row r="144" spans="1:11" ht="15.75" customHeight="1" x14ac:dyDescent="0.2">
      <c r="A144" s="115" t="s">
        <v>123</v>
      </c>
      <c r="B144" s="113">
        <v>12</v>
      </c>
      <c r="C144" s="113">
        <v>1.7</v>
      </c>
      <c r="D144" s="112">
        <f t="shared" si="12"/>
        <v>20.399999999999999</v>
      </c>
      <c r="E144" s="9"/>
      <c r="F144" s="2"/>
      <c r="G144" s="2"/>
      <c r="H144" s="2"/>
      <c r="I144" s="2"/>
      <c r="J144" s="2"/>
      <c r="K144" s="2"/>
    </row>
    <row r="145" spans="1:11" ht="15.75" customHeight="1" x14ac:dyDescent="0.2">
      <c r="A145" s="115" t="s">
        <v>124</v>
      </c>
      <c r="B145" s="113">
        <v>16</v>
      </c>
      <c r="C145" s="113">
        <v>1.7</v>
      </c>
      <c r="D145" s="112">
        <f t="shared" si="12"/>
        <v>27.2</v>
      </c>
      <c r="E145" s="9"/>
      <c r="F145" s="2"/>
      <c r="G145" s="2"/>
      <c r="H145" s="2"/>
      <c r="I145" s="2"/>
      <c r="J145" s="2"/>
      <c r="K145" s="2"/>
    </row>
    <row r="146" spans="1:11" ht="15.75" customHeight="1" x14ac:dyDescent="0.2">
      <c r="A146" s="14"/>
      <c r="B146" s="15"/>
      <c r="C146" s="15"/>
      <c r="D146" s="16"/>
      <c r="E146" s="9"/>
      <c r="F146" s="2"/>
      <c r="G146" s="2"/>
      <c r="H146" s="2"/>
      <c r="I146" s="2"/>
      <c r="J146" s="2"/>
      <c r="K146" s="2"/>
    </row>
    <row r="147" spans="1:11" ht="15.75" customHeight="1" x14ac:dyDescent="0.2">
      <c r="A147" s="116" t="s">
        <v>125</v>
      </c>
      <c r="B147" s="117"/>
      <c r="C147" s="117"/>
      <c r="D147" s="117"/>
      <c r="E147" s="9"/>
      <c r="F147" s="2"/>
      <c r="G147" s="2"/>
      <c r="H147" s="2"/>
      <c r="I147" s="2"/>
      <c r="J147" s="2"/>
      <c r="K147" s="2"/>
    </row>
    <row r="148" spans="1:11" ht="15.75" customHeight="1" x14ac:dyDescent="0.2">
      <c r="A148" s="116" t="s">
        <v>126</v>
      </c>
      <c r="B148" s="118"/>
      <c r="C148" s="119">
        <v>86.4</v>
      </c>
      <c r="D148" s="120">
        <f t="shared" ref="D148:D156" si="13">SUM(B148*C148)</f>
        <v>0</v>
      </c>
      <c r="E148" s="9"/>
      <c r="F148" s="2"/>
      <c r="G148" s="2"/>
      <c r="H148" s="2"/>
      <c r="I148" s="2"/>
      <c r="J148" s="2"/>
      <c r="K148" s="2"/>
    </row>
    <row r="149" spans="1:11" ht="15.75" customHeight="1" x14ac:dyDescent="0.2">
      <c r="A149" s="116" t="s">
        <v>127</v>
      </c>
      <c r="B149" s="118">
        <v>1</v>
      </c>
      <c r="C149" s="119">
        <v>104.4</v>
      </c>
      <c r="D149" s="120">
        <f t="shared" si="13"/>
        <v>104.4</v>
      </c>
      <c r="E149" s="9"/>
      <c r="F149" s="2"/>
      <c r="G149" s="2"/>
      <c r="H149" s="2"/>
      <c r="I149" s="2"/>
      <c r="J149" s="2"/>
      <c r="K149" s="2"/>
    </row>
    <row r="150" spans="1:11" ht="15.75" customHeight="1" x14ac:dyDescent="0.2">
      <c r="A150" s="116" t="s">
        <v>128</v>
      </c>
      <c r="B150" s="118"/>
      <c r="C150" s="119">
        <v>100.8</v>
      </c>
      <c r="D150" s="120">
        <f t="shared" si="13"/>
        <v>0</v>
      </c>
      <c r="E150" s="9"/>
      <c r="F150" s="2"/>
      <c r="G150" s="2"/>
      <c r="H150" s="2"/>
      <c r="I150" s="2"/>
      <c r="J150" s="2"/>
      <c r="K150" s="2"/>
    </row>
    <row r="151" spans="1:11" ht="15.75" customHeight="1" x14ac:dyDescent="0.2">
      <c r="A151" s="116" t="s">
        <v>129</v>
      </c>
      <c r="B151" s="118">
        <v>1.7</v>
      </c>
      <c r="C151" s="119">
        <v>96</v>
      </c>
      <c r="D151" s="120">
        <f t="shared" si="13"/>
        <v>163.19999999999999</v>
      </c>
      <c r="E151" s="9"/>
      <c r="F151" s="2"/>
      <c r="G151" s="2"/>
      <c r="H151" s="2"/>
      <c r="I151" s="2"/>
      <c r="J151" s="2"/>
      <c r="K151" s="2"/>
    </row>
    <row r="152" spans="1:11" ht="15.75" customHeight="1" x14ac:dyDescent="0.2">
      <c r="A152" s="116" t="s">
        <v>130</v>
      </c>
      <c r="B152" s="118"/>
      <c r="C152" s="119">
        <v>132</v>
      </c>
      <c r="D152" s="120">
        <f t="shared" si="13"/>
        <v>0</v>
      </c>
      <c r="E152" s="9"/>
      <c r="F152" s="2"/>
      <c r="G152" s="2"/>
      <c r="H152" s="2"/>
      <c r="I152" s="2"/>
      <c r="J152" s="2"/>
      <c r="K152" s="2"/>
    </row>
    <row r="153" spans="1:11" ht="15.75" customHeight="1" x14ac:dyDescent="0.2">
      <c r="A153" s="116" t="s">
        <v>131</v>
      </c>
      <c r="B153" s="118"/>
      <c r="C153" s="119">
        <v>90</v>
      </c>
      <c r="D153" s="120">
        <f t="shared" si="13"/>
        <v>0</v>
      </c>
      <c r="E153" s="9"/>
      <c r="F153" s="2"/>
      <c r="G153" s="2"/>
      <c r="H153" s="2"/>
      <c r="I153" s="2"/>
      <c r="J153" s="2"/>
      <c r="K153" s="2"/>
    </row>
    <row r="154" spans="1:11" ht="15.75" customHeight="1" x14ac:dyDescent="0.2">
      <c r="A154" s="116" t="s">
        <v>132</v>
      </c>
      <c r="B154" s="118"/>
      <c r="C154" s="119">
        <v>138</v>
      </c>
      <c r="D154" s="120">
        <f t="shared" si="13"/>
        <v>0</v>
      </c>
      <c r="E154" s="9"/>
      <c r="F154" s="2"/>
      <c r="G154" s="2"/>
      <c r="H154" s="2"/>
      <c r="I154" s="2"/>
      <c r="J154" s="2"/>
      <c r="K154" s="2"/>
    </row>
    <row r="155" spans="1:11" ht="15.75" customHeight="1" x14ac:dyDescent="0.2">
      <c r="A155" s="121" t="s">
        <v>133</v>
      </c>
      <c r="B155" s="118"/>
      <c r="C155" s="119">
        <v>84</v>
      </c>
      <c r="D155" s="120">
        <f t="shared" si="13"/>
        <v>0</v>
      </c>
      <c r="E155" s="9"/>
      <c r="F155" s="2"/>
      <c r="G155" s="2"/>
      <c r="H155" s="2"/>
      <c r="I155" s="2"/>
      <c r="J155" s="2"/>
      <c r="K155" s="2"/>
    </row>
    <row r="156" spans="1:11" ht="15.75" customHeight="1" x14ac:dyDescent="0.2">
      <c r="A156" s="121" t="s">
        <v>134</v>
      </c>
      <c r="B156" s="118"/>
      <c r="C156" s="119">
        <v>54</v>
      </c>
      <c r="D156" s="120">
        <f t="shared" si="13"/>
        <v>0</v>
      </c>
      <c r="E156" s="9"/>
      <c r="F156" s="2"/>
      <c r="G156" s="2"/>
      <c r="H156" s="2"/>
      <c r="I156" s="2"/>
      <c r="J156" s="2"/>
      <c r="K156" s="2"/>
    </row>
    <row r="157" spans="1:11" ht="15.75" customHeight="1" x14ac:dyDescent="0.2">
      <c r="A157" s="14"/>
      <c r="B157" s="15"/>
      <c r="C157" s="15"/>
      <c r="D157" s="16"/>
      <c r="E157" s="9"/>
      <c r="F157" s="2"/>
      <c r="G157" s="2"/>
      <c r="H157" s="2"/>
      <c r="I157" s="2"/>
      <c r="J157" s="2"/>
      <c r="K157" s="2"/>
    </row>
    <row r="158" spans="1:11" ht="15.75" customHeight="1" x14ac:dyDescent="0.2">
      <c r="A158" s="122" t="s">
        <v>135</v>
      </c>
      <c r="B158" s="123"/>
      <c r="C158" s="123"/>
      <c r="D158" s="123"/>
      <c r="E158" s="9"/>
      <c r="F158" s="2"/>
      <c r="G158" s="2"/>
      <c r="H158" s="2"/>
      <c r="I158" s="2"/>
      <c r="J158" s="2"/>
      <c r="K158" s="2"/>
    </row>
    <row r="159" spans="1:11" ht="15.75" customHeight="1" x14ac:dyDescent="0.2">
      <c r="A159" s="122" t="s">
        <v>136</v>
      </c>
      <c r="B159" s="124"/>
      <c r="C159" s="125">
        <v>110</v>
      </c>
      <c r="D159" s="126">
        <f t="shared" ref="D159:D160" si="14">SUM(B159*C159)</f>
        <v>0</v>
      </c>
      <c r="E159" s="9"/>
      <c r="F159" s="2"/>
      <c r="G159" s="2"/>
      <c r="H159" s="2"/>
      <c r="I159" s="2"/>
      <c r="J159" s="2"/>
      <c r="K159" s="2"/>
    </row>
    <row r="160" spans="1:11" ht="15.75" customHeight="1" x14ac:dyDescent="0.2">
      <c r="A160" s="122" t="s">
        <v>137</v>
      </c>
      <c r="B160" s="124"/>
      <c r="C160" s="125">
        <v>139.19999999999999</v>
      </c>
      <c r="D160" s="126">
        <f t="shared" si="14"/>
        <v>0</v>
      </c>
      <c r="E160" s="9"/>
      <c r="F160" s="2"/>
      <c r="G160" s="2"/>
      <c r="H160" s="2"/>
      <c r="I160" s="2"/>
      <c r="J160" s="2"/>
      <c r="K160" s="2"/>
    </row>
    <row r="161" spans="1:11" ht="15.75" customHeight="1" x14ac:dyDescent="0.2">
      <c r="A161" s="122" t="s">
        <v>138</v>
      </c>
      <c r="B161" s="124">
        <v>1.3</v>
      </c>
      <c r="C161" s="125">
        <v>124.8</v>
      </c>
      <c r="D161" s="126"/>
      <c r="E161" s="9"/>
      <c r="F161" s="2"/>
      <c r="G161" s="2"/>
      <c r="H161" s="2"/>
      <c r="I161" s="2"/>
      <c r="J161" s="2"/>
      <c r="K161" s="2"/>
    </row>
    <row r="162" spans="1:11" ht="15.75" customHeight="1" x14ac:dyDescent="0.2">
      <c r="A162" s="122" t="s">
        <v>139</v>
      </c>
      <c r="B162" s="124">
        <v>1</v>
      </c>
      <c r="C162" s="125">
        <v>110</v>
      </c>
      <c r="D162" s="126">
        <f t="shared" ref="D162:D176" si="15">SUM(B162*C162)</f>
        <v>110</v>
      </c>
      <c r="E162" s="9"/>
      <c r="F162" s="2"/>
      <c r="G162" s="2"/>
      <c r="H162" s="2"/>
      <c r="I162" s="2"/>
      <c r="J162" s="2"/>
      <c r="K162" s="2"/>
    </row>
    <row r="163" spans="1:11" ht="15.75" customHeight="1" x14ac:dyDescent="0.2">
      <c r="A163" s="127" t="s">
        <v>140</v>
      </c>
      <c r="B163" s="124">
        <v>0.1</v>
      </c>
      <c r="C163" s="125">
        <v>125</v>
      </c>
      <c r="D163" s="126">
        <f t="shared" si="15"/>
        <v>12.5</v>
      </c>
      <c r="E163" s="9"/>
      <c r="F163" s="2"/>
      <c r="G163" s="2"/>
      <c r="H163" s="2"/>
      <c r="I163" s="2"/>
      <c r="J163" s="2"/>
      <c r="K163" s="2"/>
    </row>
    <row r="164" spans="1:11" ht="15.75" customHeight="1" x14ac:dyDescent="0.2">
      <c r="A164" s="122" t="s">
        <v>141</v>
      </c>
      <c r="B164" s="124"/>
      <c r="C164" s="125">
        <v>150</v>
      </c>
      <c r="D164" s="126">
        <f t="shared" si="15"/>
        <v>0</v>
      </c>
      <c r="E164" s="9"/>
      <c r="F164" s="2"/>
      <c r="G164" s="2"/>
      <c r="H164" s="2"/>
      <c r="I164" s="2"/>
      <c r="J164" s="2"/>
      <c r="K164" s="2"/>
    </row>
    <row r="165" spans="1:11" ht="15.75" customHeight="1" x14ac:dyDescent="0.2">
      <c r="A165" s="122" t="s">
        <v>142</v>
      </c>
      <c r="B165" s="124"/>
      <c r="C165" s="125">
        <v>138</v>
      </c>
      <c r="D165" s="126">
        <f t="shared" si="15"/>
        <v>0</v>
      </c>
      <c r="E165" s="9"/>
      <c r="F165" s="2"/>
      <c r="G165" s="2"/>
      <c r="H165" s="2"/>
      <c r="I165" s="2"/>
      <c r="J165" s="2"/>
      <c r="K165" s="2"/>
    </row>
    <row r="166" spans="1:11" ht="15.75" customHeight="1" x14ac:dyDescent="0.2">
      <c r="A166" s="122" t="s">
        <v>143</v>
      </c>
      <c r="B166" s="124">
        <v>1.5</v>
      </c>
      <c r="C166" s="125">
        <v>129.6</v>
      </c>
      <c r="D166" s="126">
        <f t="shared" si="15"/>
        <v>194.39999999999998</v>
      </c>
      <c r="E166" s="9"/>
      <c r="F166" s="2"/>
      <c r="G166" s="2"/>
      <c r="H166" s="2"/>
      <c r="I166" s="2"/>
      <c r="J166" s="2"/>
      <c r="K166" s="2"/>
    </row>
    <row r="167" spans="1:11" ht="15.75" customHeight="1" x14ac:dyDescent="0.2">
      <c r="A167" s="122" t="s">
        <v>144</v>
      </c>
      <c r="B167" s="124">
        <v>0.8</v>
      </c>
      <c r="C167" s="125">
        <v>89</v>
      </c>
      <c r="D167" s="126">
        <f t="shared" si="15"/>
        <v>71.2</v>
      </c>
      <c r="E167" s="9"/>
      <c r="F167" s="2"/>
      <c r="G167" s="2"/>
      <c r="H167" s="2"/>
      <c r="I167" s="2"/>
      <c r="J167" s="2"/>
      <c r="K167" s="2"/>
    </row>
    <row r="168" spans="1:11" ht="15.75" customHeight="1" x14ac:dyDescent="0.2">
      <c r="A168" s="122" t="s">
        <v>145</v>
      </c>
      <c r="B168" s="124"/>
      <c r="C168" s="125">
        <v>95</v>
      </c>
      <c r="D168" s="126">
        <f t="shared" si="15"/>
        <v>0</v>
      </c>
      <c r="E168" s="9"/>
      <c r="F168" s="2"/>
      <c r="G168" s="2"/>
      <c r="H168" s="2"/>
      <c r="I168" s="2"/>
      <c r="J168" s="2"/>
      <c r="K168" s="2"/>
    </row>
    <row r="169" spans="1:11" ht="15.75" customHeight="1" x14ac:dyDescent="0.2">
      <c r="A169" s="122" t="s">
        <v>146</v>
      </c>
      <c r="B169" s="124"/>
      <c r="C169" s="123">
        <v>174.5</v>
      </c>
      <c r="D169" s="126">
        <f t="shared" si="15"/>
        <v>0</v>
      </c>
      <c r="E169" s="9"/>
      <c r="F169" s="2"/>
      <c r="G169" s="2"/>
      <c r="H169" s="2"/>
      <c r="I169" s="2"/>
      <c r="J169" s="2"/>
      <c r="K169" s="2"/>
    </row>
    <row r="170" spans="1:11" ht="15.75" customHeight="1" x14ac:dyDescent="0.2">
      <c r="A170" s="122" t="s">
        <v>147</v>
      </c>
      <c r="B170" s="124">
        <v>1.1000000000000001</v>
      </c>
      <c r="C170" s="123">
        <v>125</v>
      </c>
      <c r="D170" s="126">
        <f t="shared" si="15"/>
        <v>137.5</v>
      </c>
      <c r="E170" s="9"/>
      <c r="F170" s="2"/>
      <c r="G170" s="2"/>
      <c r="H170" s="2"/>
      <c r="I170" s="2"/>
      <c r="J170" s="2"/>
      <c r="K170" s="2"/>
    </row>
    <row r="171" spans="1:11" ht="15.75" customHeight="1" x14ac:dyDescent="0.2">
      <c r="A171" s="122" t="s">
        <v>148</v>
      </c>
      <c r="B171" s="124"/>
      <c r="C171" s="125">
        <v>138</v>
      </c>
      <c r="D171" s="126">
        <f t="shared" si="15"/>
        <v>0</v>
      </c>
      <c r="E171" s="9"/>
      <c r="F171" s="2"/>
      <c r="G171" s="2"/>
      <c r="H171" s="2"/>
      <c r="I171" s="2"/>
      <c r="J171" s="2"/>
      <c r="K171" s="2"/>
    </row>
    <row r="172" spans="1:11" ht="15.75" customHeight="1" x14ac:dyDescent="0.2">
      <c r="A172" s="122" t="s">
        <v>149</v>
      </c>
      <c r="B172" s="124"/>
      <c r="C172" s="125">
        <v>96</v>
      </c>
      <c r="D172" s="126">
        <f t="shared" si="15"/>
        <v>0</v>
      </c>
      <c r="E172" s="128"/>
      <c r="F172" s="2"/>
      <c r="G172" s="2"/>
      <c r="H172" s="2"/>
      <c r="I172" s="2"/>
      <c r="J172" s="2"/>
      <c r="K172" s="2"/>
    </row>
    <row r="173" spans="1:11" ht="15.75" customHeight="1" x14ac:dyDescent="0.2">
      <c r="A173" s="122" t="s">
        <v>150</v>
      </c>
      <c r="B173" s="124">
        <v>0.9</v>
      </c>
      <c r="C173" s="123">
        <v>140</v>
      </c>
      <c r="D173" s="126">
        <f t="shared" si="15"/>
        <v>126</v>
      </c>
      <c r="E173" s="128"/>
      <c r="F173" s="2"/>
      <c r="G173" s="2"/>
      <c r="H173" s="2"/>
      <c r="I173" s="2"/>
      <c r="J173" s="2"/>
      <c r="K173" s="2"/>
    </row>
    <row r="174" spans="1:11" ht="15.75" customHeight="1" x14ac:dyDescent="0.2">
      <c r="A174" s="122" t="s">
        <v>151</v>
      </c>
      <c r="B174" s="124">
        <v>1.7</v>
      </c>
      <c r="C174" s="123">
        <v>100</v>
      </c>
      <c r="D174" s="126">
        <f t="shared" si="15"/>
        <v>170</v>
      </c>
      <c r="E174" s="128"/>
      <c r="F174" s="2"/>
      <c r="G174" s="2"/>
      <c r="H174" s="2"/>
      <c r="I174" s="2"/>
      <c r="J174" s="2"/>
      <c r="K174" s="2"/>
    </row>
    <row r="175" spans="1:11" ht="15.75" customHeight="1" x14ac:dyDescent="0.2">
      <c r="A175" s="122" t="s">
        <v>152</v>
      </c>
      <c r="B175" s="124">
        <v>0.1</v>
      </c>
      <c r="C175" s="125">
        <v>79</v>
      </c>
      <c r="D175" s="126">
        <f t="shared" si="15"/>
        <v>7.9</v>
      </c>
      <c r="E175" s="128"/>
      <c r="F175" s="2"/>
      <c r="G175" s="2"/>
      <c r="H175" s="2"/>
      <c r="I175" s="2"/>
      <c r="J175" s="2"/>
      <c r="K175" s="2"/>
    </row>
    <row r="176" spans="1:11" ht="15.75" customHeight="1" x14ac:dyDescent="0.2">
      <c r="A176" s="127" t="s">
        <v>153</v>
      </c>
      <c r="B176" s="124"/>
      <c r="C176" s="125">
        <v>105.6</v>
      </c>
      <c r="D176" s="126">
        <f t="shared" si="15"/>
        <v>0</v>
      </c>
      <c r="E176" s="128"/>
      <c r="F176" s="2"/>
      <c r="G176" s="2"/>
      <c r="H176" s="2"/>
      <c r="I176" s="2"/>
      <c r="J176" s="2"/>
      <c r="K176" s="2"/>
    </row>
    <row r="177" spans="1:11" ht="15.75" customHeight="1" x14ac:dyDescent="0.2">
      <c r="A177" s="14"/>
      <c r="B177" s="15"/>
      <c r="C177" s="15"/>
      <c r="D177" s="16"/>
      <c r="F177" s="2"/>
      <c r="G177" s="2"/>
      <c r="H177" s="2"/>
      <c r="I177" s="2"/>
      <c r="J177" s="2"/>
      <c r="K177" s="2"/>
    </row>
    <row r="178" spans="1:11" ht="15.75" customHeight="1" x14ac:dyDescent="0.2">
      <c r="A178" s="129" t="s">
        <v>154</v>
      </c>
      <c r="B178" s="130"/>
      <c r="C178" s="130"/>
      <c r="D178" s="130"/>
      <c r="F178" s="2"/>
      <c r="G178" s="2"/>
      <c r="H178" s="2"/>
      <c r="I178" s="2"/>
      <c r="J178" s="2"/>
      <c r="K178" s="2"/>
    </row>
    <row r="179" spans="1:11" ht="15.75" customHeight="1" x14ac:dyDescent="0.2">
      <c r="A179" s="129" t="s">
        <v>155</v>
      </c>
      <c r="B179" s="131">
        <v>0.6</v>
      </c>
      <c r="C179" s="132">
        <v>59.5</v>
      </c>
      <c r="D179" s="133">
        <f t="shared" ref="D179:D182" si="16">SUM(B179*C179)</f>
        <v>35.699999999999996</v>
      </c>
      <c r="F179" s="2"/>
      <c r="G179" s="2"/>
      <c r="H179" s="2"/>
      <c r="I179" s="2"/>
      <c r="J179" s="2"/>
      <c r="K179" s="2"/>
    </row>
    <row r="180" spans="1:11" ht="15.75" customHeight="1" x14ac:dyDescent="0.2">
      <c r="A180" s="129" t="s">
        <v>156</v>
      </c>
      <c r="B180" s="131">
        <v>1.7</v>
      </c>
      <c r="C180" s="132">
        <v>59.5</v>
      </c>
      <c r="D180" s="133">
        <f t="shared" si="16"/>
        <v>101.14999999999999</v>
      </c>
      <c r="F180" s="2"/>
      <c r="G180" s="2"/>
      <c r="H180" s="2"/>
      <c r="I180" s="2"/>
      <c r="J180" s="2"/>
      <c r="K180" s="2"/>
    </row>
    <row r="181" spans="1:11" ht="15.75" customHeight="1" x14ac:dyDescent="0.2">
      <c r="A181" s="129" t="s">
        <v>157</v>
      </c>
      <c r="B181" s="131">
        <v>1.7</v>
      </c>
      <c r="C181" s="132">
        <v>59.5</v>
      </c>
      <c r="D181" s="133">
        <f t="shared" si="16"/>
        <v>101.14999999999999</v>
      </c>
      <c r="F181" s="2"/>
      <c r="G181" s="2"/>
      <c r="H181" s="2"/>
      <c r="I181" s="2"/>
      <c r="J181" s="2"/>
      <c r="K181" s="2"/>
    </row>
    <row r="182" spans="1:11" ht="15.75" customHeight="1" x14ac:dyDescent="0.2">
      <c r="A182" s="129" t="s">
        <v>158</v>
      </c>
      <c r="B182" s="131">
        <v>0.6</v>
      </c>
      <c r="C182" s="132">
        <v>59.5</v>
      </c>
      <c r="D182" s="133">
        <f t="shared" si="16"/>
        <v>35.699999999999996</v>
      </c>
      <c r="F182" s="2"/>
      <c r="G182" s="2"/>
      <c r="H182" s="2"/>
      <c r="I182" s="2"/>
      <c r="J182" s="2"/>
      <c r="K182" s="2"/>
    </row>
    <row r="183" spans="1:11" ht="15.75" customHeight="1" x14ac:dyDescent="0.2">
      <c r="A183" s="2"/>
      <c r="B183" s="134"/>
      <c r="C183" s="134"/>
      <c r="D183" s="16"/>
      <c r="E183" s="2"/>
      <c r="F183" s="2"/>
      <c r="G183" s="2"/>
      <c r="H183" s="2"/>
      <c r="I183" s="2"/>
      <c r="J183" s="2"/>
      <c r="K183" s="2"/>
    </row>
    <row r="184" spans="1:11" ht="15.75" customHeight="1" x14ac:dyDescent="0.2">
      <c r="A184" s="135" t="s">
        <v>159</v>
      </c>
      <c r="B184" s="136"/>
      <c r="C184" s="136"/>
      <c r="D184" s="136"/>
      <c r="E184" s="2"/>
      <c r="F184" s="2"/>
      <c r="G184" s="2"/>
      <c r="H184" s="2"/>
      <c r="I184" s="2"/>
      <c r="J184" s="2"/>
      <c r="K184" s="2"/>
    </row>
    <row r="185" spans="1:11" ht="15.75" customHeight="1" x14ac:dyDescent="0.2">
      <c r="A185" s="137" t="s">
        <v>160</v>
      </c>
      <c r="B185" s="138">
        <v>17</v>
      </c>
      <c r="C185" s="138">
        <v>0.4</v>
      </c>
      <c r="D185" s="139">
        <f t="shared" ref="D185:D190" si="17">SUM(B185*C185)</f>
        <v>6.8000000000000007</v>
      </c>
      <c r="E185" s="2"/>
      <c r="F185" s="2"/>
      <c r="G185" s="2"/>
      <c r="H185" s="2"/>
      <c r="I185" s="2"/>
      <c r="J185" s="2"/>
      <c r="K185" s="2"/>
    </row>
    <row r="186" spans="1:11" ht="15.75" customHeight="1" x14ac:dyDescent="0.2">
      <c r="A186" s="137" t="s">
        <v>161</v>
      </c>
      <c r="B186" s="138">
        <v>18</v>
      </c>
      <c r="C186" s="138">
        <v>0.4</v>
      </c>
      <c r="D186" s="139">
        <f t="shared" si="17"/>
        <v>7.2</v>
      </c>
      <c r="E186" s="2"/>
      <c r="F186" s="2"/>
      <c r="G186" s="2"/>
      <c r="H186" s="2"/>
      <c r="I186" s="2"/>
      <c r="J186" s="2"/>
      <c r="K186" s="2"/>
    </row>
    <row r="187" spans="1:11" ht="15.75" customHeight="1" x14ac:dyDescent="0.2">
      <c r="A187" s="137" t="s">
        <v>162</v>
      </c>
      <c r="B187" s="138">
        <v>9</v>
      </c>
      <c r="C187" s="138">
        <v>0.45</v>
      </c>
      <c r="D187" s="139">
        <f t="shared" si="17"/>
        <v>4.05</v>
      </c>
      <c r="E187" s="2"/>
      <c r="F187" s="2"/>
      <c r="G187" s="2"/>
      <c r="H187" s="2"/>
      <c r="I187" s="2"/>
      <c r="J187" s="2"/>
      <c r="K187" s="2"/>
    </row>
    <row r="188" spans="1:11" ht="15.75" customHeight="1" x14ac:dyDescent="0.2">
      <c r="A188" s="137" t="s">
        <v>163</v>
      </c>
      <c r="B188" s="138">
        <v>13</v>
      </c>
      <c r="C188" s="138">
        <v>0.45</v>
      </c>
      <c r="D188" s="139">
        <f t="shared" si="17"/>
        <v>5.8500000000000005</v>
      </c>
      <c r="E188" s="2"/>
      <c r="F188" s="2"/>
      <c r="G188" s="2"/>
      <c r="H188" s="2"/>
      <c r="I188" s="2"/>
      <c r="J188" s="2"/>
      <c r="K188" s="2"/>
    </row>
    <row r="189" spans="1:11" ht="15.75" customHeight="1" x14ac:dyDescent="0.2">
      <c r="A189" s="137" t="s">
        <v>164</v>
      </c>
      <c r="B189" s="138"/>
      <c r="C189" s="138">
        <v>0.45</v>
      </c>
      <c r="D189" s="139">
        <f t="shared" si="17"/>
        <v>0</v>
      </c>
      <c r="E189" s="2"/>
      <c r="F189" s="2"/>
      <c r="G189" s="2"/>
      <c r="H189" s="2"/>
      <c r="I189" s="2"/>
      <c r="J189" s="2"/>
      <c r="K189" s="2"/>
    </row>
    <row r="190" spans="1:11" ht="15.75" customHeight="1" x14ac:dyDescent="0.2">
      <c r="A190" s="140" t="s">
        <v>165</v>
      </c>
      <c r="B190" s="141"/>
      <c r="C190" s="142">
        <f>12.95/12</f>
        <v>1.0791666666666666</v>
      </c>
      <c r="D190" s="139">
        <f t="shared" si="17"/>
        <v>0</v>
      </c>
      <c r="E190" s="2"/>
      <c r="F190" s="2"/>
      <c r="G190" s="2"/>
      <c r="H190" s="2"/>
      <c r="I190" s="2"/>
      <c r="J190" s="2"/>
      <c r="K190" s="2"/>
    </row>
    <row r="191" spans="1:1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">
      <c r="A192" s="2" t="s">
        <v>166</v>
      </c>
      <c r="B192" s="2"/>
      <c r="C192" s="2"/>
      <c r="D192" s="143">
        <f>SUM(D6:D190)</f>
        <v>4773.3294999999989</v>
      </c>
      <c r="E192" s="2"/>
      <c r="F192" s="2"/>
      <c r="G192" s="2"/>
      <c r="H192" s="2"/>
      <c r="I192" s="2"/>
      <c r="J192" s="2"/>
      <c r="K192" s="2"/>
    </row>
    <row r="193" spans="1:1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/>
    <row r="392" spans="1:11" ht="15.75" customHeight="1" x14ac:dyDescent="0.2"/>
    <row r="393" spans="1:11" ht="15.75" customHeight="1" x14ac:dyDescent="0.2"/>
    <row r="394" spans="1:11" ht="15.75" customHeight="1" x14ac:dyDescent="0.2"/>
    <row r="395" spans="1:11" ht="15.75" customHeight="1" x14ac:dyDescent="0.2"/>
    <row r="396" spans="1:11" ht="15.75" customHeight="1" x14ac:dyDescent="0.2"/>
    <row r="397" spans="1:11" ht="15.75" customHeight="1" x14ac:dyDescent="0.2"/>
    <row r="398" spans="1:11" ht="15.75" customHeight="1" x14ac:dyDescent="0.2"/>
    <row r="399" spans="1:11" ht="15.75" customHeight="1" x14ac:dyDescent="0.2"/>
    <row r="400" spans="1:11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Jay Russell</cp:lastModifiedBy>
  <dcterms:created xsi:type="dcterms:W3CDTF">2026-02-03T13:26:05Z</dcterms:created>
  <dcterms:modified xsi:type="dcterms:W3CDTF">2026-02-03T13:49:38Z</dcterms:modified>
</cp:coreProperties>
</file>