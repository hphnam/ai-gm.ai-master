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Stock Sheets\"/>
    </mc:Choice>
  </mc:AlternateContent>
  <xr:revisionPtr revIDLastSave="0" documentId="8_{0E9CEF39-A9F8-4435-BC22-DD583D364F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0" i="1" l="1"/>
  <c r="C190" i="1"/>
  <c r="D189" i="1"/>
  <c r="D188" i="1"/>
  <c r="D187" i="1"/>
  <c r="D186" i="1"/>
  <c r="D185" i="1"/>
  <c r="D182" i="1"/>
  <c r="D181" i="1"/>
  <c r="D180" i="1"/>
  <c r="D179" i="1"/>
  <c r="D176" i="1"/>
  <c r="D175" i="1"/>
  <c r="D174" i="1"/>
  <c r="D173" i="1"/>
  <c r="D172" i="1"/>
  <c r="D171" i="1"/>
  <c r="D170" i="1"/>
  <c r="O169" i="1"/>
  <c r="D169" i="1"/>
  <c r="O168" i="1"/>
  <c r="D168" i="1"/>
  <c r="D167" i="1"/>
  <c r="D166" i="1"/>
  <c r="D165" i="1"/>
  <c r="O164" i="1"/>
  <c r="D164" i="1"/>
  <c r="O163" i="1"/>
  <c r="D163" i="1"/>
  <c r="D162" i="1"/>
  <c r="D161" i="1"/>
  <c r="D160" i="1"/>
  <c r="D159" i="1"/>
  <c r="D156" i="1"/>
  <c r="D155" i="1"/>
  <c r="D154" i="1"/>
  <c r="O153" i="1"/>
  <c r="D153" i="1"/>
  <c r="O152" i="1"/>
  <c r="O154" i="1" s="1"/>
  <c r="D152" i="1"/>
  <c r="O151" i="1"/>
  <c r="D151" i="1"/>
  <c r="D150" i="1"/>
  <c r="D149" i="1"/>
  <c r="D148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B129" i="1"/>
  <c r="D129" i="1" s="1"/>
  <c r="D128" i="1"/>
  <c r="B116" i="1"/>
  <c r="D106" i="1"/>
  <c r="D105" i="1"/>
  <c r="D104" i="1"/>
  <c r="D103" i="1"/>
  <c r="D102" i="1"/>
  <c r="D101" i="1"/>
  <c r="D100" i="1"/>
  <c r="B100" i="1"/>
  <c r="D99" i="1"/>
  <c r="D98" i="1"/>
  <c r="D97" i="1"/>
  <c r="D96" i="1"/>
  <c r="D95" i="1"/>
  <c r="D94" i="1"/>
  <c r="O92" i="1"/>
  <c r="D91" i="1"/>
  <c r="D90" i="1"/>
  <c r="D89" i="1"/>
  <c r="D86" i="1"/>
  <c r="D85" i="1"/>
  <c r="D82" i="1"/>
  <c r="D81" i="1"/>
  <c r="D80" i="1"/>
  <c r="D79" i="1"/>
  <c r="O78" i="1"/>
  <c r="O79" i="1" s="1"/>
  <c r="D76" i="1"/>
  <c r="D75" i="1"/>
  <c r="D74" i="1"/>
  <c r="D73" i="1"/>
  <c r="D72" i="1"/>
  <c r="D69" i="1"/>
  <c r="D68" i="1"/>
  <c r="D67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29" i="1"/>
  <c r="B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3" i="1"/>
  <c r="D12" i="1"/>
  <c r="O11" i="1"/>
  <c r="D11" i="1"/>
  <c r="D10" i="1"/>
  <c r="D9" i="1"/>
  <c r="D8" i="1"/>
  <c r="D7" i="1"/>
  <c r="D192" i="1" s="1"/>
  <c r="O6" i="1"/>
  <c r="O14" i="1" s="1"/>
  <c r="D6" i="1"/>
</calcChain>
</file>

<file path=xl/sharedStrings.xml><?xml version="1.0" encoding="utf-8"?>
<sst xmlns="http://schemas.openxmlformats.org/spreadsheetml/2006/main" count="217" uniqueCount="183">
  <si>
    <t>Stock: 01.02.2026 (current amount of stock)</t>
  </si>
  <si>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</si>
  <si>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</si>
  <si>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</si>
  <si>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</si>
  <si>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</si>
  <si>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</si>
  <si>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</si>
  <si>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</si>
  <si>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</si>
  <si>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</si>
  <si>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</si>
  <si>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</si>
  <si>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</si>
  <si>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</si>
  <si>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</si>
  <si>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</si>
  <si>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</si>
  <si>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</si>
  <si>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</si>
  <si>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</si>
  <si>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</si>
  <si>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</si>
  <si>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</si>
  <si>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</si>
  <si>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</si>
  <si>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</si>
  <si>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</si>
  <si>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</si>
  <si>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</si>
  <si>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</si>
  <si>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</si>
  <si>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</si>
  <si>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</si>
  <si>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</si>
  <si>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</si>
  <si>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</si>
  <si>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</si>
  <si>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</si>
  <si>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</si>
  <si>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</si>
  <si>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</si>
  <si>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</si>
  <si>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</si>
  <si>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</si>
  <si>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</si>
  <si>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</si>
  <si>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</si>
  <si>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</si>
  <si>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</si>
  <si>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</si>
  <si>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</si>
  <si>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</si>
  <si>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</si>
  <si>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</si>
  <si>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</si>
  <si>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Pimms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</si>
  <si>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</si>
  <si>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</si>
  <si>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</si>
  <si>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</si>
  <si>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</si>
  <si>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</si>
  <si>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</si>
  <si>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</si>
  <si>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</si>
  <si>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Aperol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</si>
  <si>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</si>
  <si>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</si>
  <si>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</si>
  <si>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</si>
  <si>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</si>
  <si>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</si>
  <si>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</si>
  <si>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Tussock Jumper Merlot (Red) x 75cl</t>
  </si>
  <si>
    <t>LA BONITA MALBEC</t>
  </si>
  <si>
    <t>Chilnero Merlot x 75cl</t>
  </si>
  <si>
    <t>Wine Amount Calculator</t>
  </si>
  <si>
    <t>White</t>
  </si>
  <si>
    <t>175ml - Medium</t>
  </si>
  <si>
    <t>South Island Sauvignon Blanc x 75cl</t>
  </si>
  <si>
    <t>chardonnay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</si>
  <si>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</si>
  <si>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</si>
  <si>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</si>
  <si>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</si>
  <si>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</si>
  <si>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</si>
  <si>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</si>
  <si>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CHEAP ASS ALDI PROSECCO</t>
  </si>
  <si>
    <t>Cantina Garda Spumante x 75cl</t>
  </si>
  <si>
    <t>125ml - Glass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</si>
  <si>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</si>
  <si>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</si>
  <si>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</si>
  <si>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</si>
  <si>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</si>
  <si>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</si>
  <si>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</si>
  <si>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</si>
  <si>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</si>
  <si>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</si>
  <si>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</si>
  <si>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</si>
  <si>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</si>
  <si>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</si>
  <si>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</si>
  <si>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</si>
  <si>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</si>
  <si>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</si>
  <si>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</si>
  <si>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</si>
  <si>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</si>
  <si>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</si>
  <si>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</si>
  <si>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</si>
  <si>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</si>
  <si>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</si>
  <si>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</si>
  <si>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</si>
  <si>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</si>
  <si>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</si>
  <si>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</si>
  <si>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Verdant PUTTY (440ml Can)</t>
  </si>
  <si>
    <t>PROPER JOB IPA A/F</t>
  </si>
  <si>
    <t>Chug A/F (440ml Can)</t>
  </si>
  <si>
    <t>Alc Free (330ml can)</t>
  </si>
  <si>
    <t>Beyond the Pines A/F (440ml Can)</t>
  </si>
  <si>
    <t>LUNEBREW CANS 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</si>
  <si>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</si>
  <si>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</si>
  <si>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</si>
  <si>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</si>
  <si>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</si>
  <si>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</si>
  <si>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</si>
  <si>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</si>
  <si>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</si>
  <si>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</si>
  <si>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</si>
  <si>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session ipa</t>
  </si>
  <si>
    <t>LuneBrew: Bitter</t>
  </si>
  <si>
    <t>Half</t>
  </si>
  <si>
    <t>LuneBrew: Caked</t>
  </si>
  <si>
    <t>Pint</t>
  </si>
  <si>
    <t>Guest</t>
  </si>
  <si>
    <t>Stein</t>
  </si>
  <si>
    <t>Lunebrew DEW cask</t>
  </si>
  <si>
    <t>LuneBrew: Stout 8 Malt</t>
  </si>
  <si>
    <t>LuneBrew: Centennial Summer</t>
  </si>
  <si>
    <t>Draught-</t>
  </si>
  <si>
    <t>Lunebrew: Session IPA</t>
  </si>
  <si>
    <t>Lunebrew: Bine/Dandy (30ltr)</t>
  </si>
  <si>
    <t>Keg Calculator</t>
  </si>
  <si>
    <t>Lunebrew:Pale (30ltr)</t>
  </si>
  <si>
    <t>Lunebrew/Guest (30ltr)</t>
  </si>
  <si>
    <t>LuneBrew: Stampede</t>
  </si>
  <si>
    <t>Apple Cider 50ltr</t>
  </si>
  <si>
    <t>LuneBrew: Dew (30ltr)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</si>
  <si>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</si>
  <si>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</si>
  <si>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</si>
  <si>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</si>
  <si>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</si>
  <si>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</si>
  <si>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</si>
  <si>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</si>
  <si>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</si>
  <si>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</si>
  <si>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Trappist Unsellable!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</si>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</sst>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"/>
    <numFmt numFmtId="167" formatCode="[$£-809]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2" fillId="0" borderId="0" xfId="0" applyFont="1"/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/>
    <xf numFmtId="0" fontId="2" fillId="5" borderId="8" xfId="0" applyFont="1" applyFill="1" applyBorder="1" applyAlignment="1">
      <alignment horizontal="right"/>
    </xf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 applyAlignment="1"/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2" fillId="12" borderId="1" xfId="0" applyFont="1" applyFill="1" applyBorder="1" applyAlignment="1"/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0" fontId="1" fillId="13" borderId="1" xfId="0" applyFont="1" applyFill="1" applyBorder="1" applyAlignment="1"/>
    <xf numFmtId="0" fontId="2" fillId="12" borderId="0" xfId="0" applyFont="1" applyFill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1" fillId="14" borderId="1" xfId="0" applyFont="1" applyFill="1" applyBorder="1" applyAlignment="1"/>
    <xf numFmtId="2" fontId="2" fillId="0" borderId="1" xfId="0" applyNumberFormat="1" applyFont="1" applyBorder="1" applyAlignment="1"/>
    <xf numFmtId="0" fontId="2" fillId="15" borderId="1" xfId="0" applyFont="1" applyFill="1" applyBorder="1" applyAlignment="1"/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/>
    <xf numFmtId="0" fontId="1" fillId="16" borderId="1" xfId="0" applyFont="1" applyFill="1" applyBorder="1" applyAlignment="1"/>
    <xf numFmtId="4" fontId="6" fillId="0" borderId="1" xfId="0" applyNumberFormat="1" applyFont="1" applyBorder="1" applyAlignment="1"/>
    <xf numFmtId="4" fontId="7" fillId="0" borderId="1" xfId="0" applyNumberFormat="1" applyFont="1" applyBorder="1" applyAlignment="1"/>
    <xf numFmtId="164" fontId="7" fillId="0" borderId="1" xfId="0" applyNumberFormat="1" applyFont="1" applyBorder="1" applyAlignment="1"/>
    <xf numFmtId="165" fontId="7" fillId="0" borderId="4" xfId="0" applyNumberFormat="1" applyFont="1" applyBorder="1" applyAlignment="1">
      <alignment horizontal="right"/>
    </xf>
    <xf numFmtId="4" fontId="6" fillId="11" borderId="1" xfId="0" applyNumberFormat="1" applyFont="1" applyFill="1" applyBorder="1" applyAlignment="1"/>
    <xf numFmtId="4" fontId="7" fillId="11" borderId="1" xfId="0" applyNumberFormat="1" applyFont="1" applyFill="1" applyBorder="1" applyAlignment="1"/>
    <xf numFmtId="164" fontId="7" fillId="11" borderId="1" xfId="0" applyNumberFormat="1" applyFont="1" applyFill="1" applyBorder="1" applyAlignment="1"/>
    <xf numFmtId="165" fontId="7" fillId="11" borderId="4" xfId="0" applyNumberFormat="1" applyFont="1" applyFill="1" applyBorder="1" applyAlignment="1">
      <alignment horizontal="right"/>
    </xf>
    <xf numFmtId="4" fontId="7" fillId="11" borderId="1" xfId="0" applyNumberFormat="1" applyFont="1" applyFill="1" applyBorder="1" applyAlignment="1">
      <alignment horizontal="right"/>
    </xf>
    <xf numFmtId="164" fontId="7" fillId="11" borderId="1" xfId="0" applyNumberFormat="1" applyFont="1" applyFill="1" applyBorder="1" applyAlignment="1">
      <alignment horizontal="right"/>
    </xf>
    <xf numFmtId="165" fontId="7" fillId="11" borderId="4" xfId="0" applyNumberFormat="1" applyFont="1" applyFill="1" applyBorder="1" applyAlignment="1">
      <alignment horizontal="right"/>
    </xf>
    <xf numFmtId="4" fontId="6" fillId="13" borderId="1" xfId="0" applyNumberFormat="1" applyFont="1" applyFill="1" applyBorder="1" applyAlignment="1"/>
    <xf numFmtId="4" fontId="7" fillId="13" borderId="1" xfId="0" applyNumberFormat="1" applyFont="1" applyFill="1" applyBorder="1" applyAlignment="1">
      <alignment horizontal="right"/>
    </xf>
    <xf numFmtId="164" fontId="7" fillId="13" borderId="1" xfId="0" applyNumberFormat="1" applyFont="1" applyFill="1" applyBorder="1" applyAlignment="1">
      <alignment horizontal="right"/>
    </xf>
    <xf numFmtId="165" fontId="7" fillId="13" borderId="4" xfId="0" applyNumberFormat="1" applyFont="1" applyFill="1" applyBorder="1" applyAlignment="1">
      <alignment horizontal="right"/>
    </xf>
    <xf numFmtId="4" fontId="7" fillId="13" borderId="1" xfId="0" applyNumberFormat="1" applyFont="1" applyFill="1" applyBorder="1" applyAlignment="1">
      <alignment horizontal="right"/>
    </xf>
    <xf numFmtId="164" fontId="7" fillId="13" borderId="1" xfId="0" applyNumberFormat="1" applyFont="1" applyFill="1" applyBorder="1" applyAlignment="1">
      <alignment horizontal="right"/>
    </xf>
    <xf numFmtId="165" fontId="7" fillId="13" borderId="4" xfId="0" applyNumberFormat="1" applyFont="1" applyFill="1" applyBorder="1" applyAlignment="1">
      <alignment horizontal="right"/>
    </xf>
    <xf numFmtId="4" fontId="6" fillId="12" borderId="1" xfId="0" applyNumberFormat="1" applyFont="1" applyFill="1" applyBorder="1" applyAlignment="1"/>
    <xf numFmtId="4" fontId="7" fillId="12" borderId="1" xfId="0" applyNumberFormat="1" applyFont="1" applyFill="1" applyBorder="1" applyAlignment="1">
      <alignment horizontal="right"/>
    </xf>
    <xf numFmtId="164" fontId="7" fillId="12" borderId="1" xfId="0" applyNumberFormat="1" applyFont="1" applyFill="1" applyBorder="1" applyAlignment="1">
      <alignment horizontal="right"/>
    </xf>
    <xf numFmtId="165" fontId="7" fillId="12" borderId="4" xfId="0" applyNumberFormat="1" applyFont="1" applyFill="1" applyBorder="1" applyAlignment="1">
      <alignment horizontal="right"/>
    </xf>
    <xf numFmtId="4" fontId="7" fillId="12" borderId="1" xfId="0" applyNumberFormat="1" applyFont="1" applyFill="1" applyBorder="1" applyAlignment="1">
      <alignment horizontal="right"/>
    </xf>
    <xf numFmtId="164" fontId="7" fillId="12" borderId="1" xfId="0" applyNumberFormat="1" applyFont="1" applyFill="1" applyBorder="1" applyAlignment="1">
      <alignment horizontal="right"/>
    </xf>
    <xf numFmtId="165" fontId="7" fillId="12" borderId="4" xfId="0" applyNumberFormat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2" fillId="0" borderId="3" xfId="0" applyFont="1" applyBorder="1" applyAlignment="1"/>
    <xf numFmtId="4" fontId="6" fillId="14" borderId="1" xfId="0" applyNumberFormat="1" applyFont="1" applyFill="1" applyBorder="1" applyAlignment="1"/>
    <xf numFmtId="4" fontId="7" fillId="14" borderId="1" xfId="0" applyNumberFormat="1" applyFont="1" applyFill="1" applyBorder="1" applyAlignment="1"/>
    <xf numFmtId="164" fontId="7" fillId="14" borderId="1" xfId="0" applyNumberFormat="1" applyFont="1" applyFill="1" applyBorder="1" applyAlignment="1"/>
    <xf numFmtId="165" fontId="7" fillId="14" borderId="4" xfId="0" applyNumberFormat="1" applyFont="1" applyFill="1" applyBorder="1" applyAlignment="1">
      <alignment horizontal="right"/>
    </xf>
    <xf numFmtId="4" fontId="7" fillId="14" borderId="1" xfId="0" applyNumberFormat="1" applyFont="1" applyFill="1" applyBorder="1" applyAlignment="1"/>
    <xf numFmtId="164" fontId="7" fillId="14" borderId="1" xfId="0" applyNumberFormat="1" applyFont="1" applyFill="1" applyBorder="1" applyAlignment="1">
      <alignment horizontal="right"/>
    </xf>
    <xf numFmtId="165" fontId="7" fillId="14" borderId="4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4" fontId="7" fillId="11" borderId="1" xfId="0" applyNumberFormat="1" applyFont="1" applyFill="1" applyBorder="1" applyAlignment="1">
      <alignment horizontal="right"/>
    </xf>
    <xf numFmtId="4" fontId="6" fillId="3" borderId="1" xfId="0" applyNumberFormat="1" applyFont="1" applyFill="1" applyBorder="1" applyAlignment="1"/>
    <xf numFmtId="164" fontId="7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/>
    <xf numFmtId="0" fontId="1" fillId="18" borderId="1" xfId="0" applyFont="1" applyFill="1" applyBorder="1" applyAlignment="1"/>
    <xf numFmtId="2" fontId="2" fillId="18" borderId="1" xfId="0" applyNumberFormat="1" applyFont="1" applyFill="1" applyBorder="1" applyAlignment="1"/>
    <xf numFmtId="2" fontId="2" fillId="18" borderId="1" xfId="0" applyNumberFormat="1" applyFont="1" applyFill="1" applyBorder="1" applyAlignment="1">
      <alignment horizontal="right"/>
    </xf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0" fontId="2" fillId="19" borderId="1" xfId="0" applyFont="1" applyFill="1" applyBorder="1" applyAlignment="1"/>
    <xf numFmtId="0" fontId="8" fillId="19" borderId="1" xfId="0" applyFont="1" applyFill="1" applyBorder="1" applyAlignment="1"/>
    <xf numFmtId="0" fontId="1" fillId="18" borderId="1" xfId="0" applyFont="1" applyFill="1" applyBorder="1" applyAlignment="1"/>
    <xf numFmtId="0" fontId="2" fillId="19" borderId="0" xfId="0" applyFont="1" applyFill="1" applyAlignment="1"/>
    <xf numFmtId="0" fontId="1" fillId="20" borderId="1" xfId="0" applyFont="1" applyFill="1" applyBorder="1" applyAlignment="1"/>
    <xf numFmtId="2" fontId="2" fillId="20" borderId="1" xfId="0" applyNumberFormat="1" applyFont="1" applyFill="1" applyBorder="1" applyAlignment="1"/>
    <xf numFmtId="2" fontId="2" fillId="20" borderId="1" xfId="0" applyNumberFormat="1" applyFont="1" applyFill="1" applyBorder="1" applyAlignment="1">
      <alignment horizontal="right"/>
    </xf>
    <xf numFmtId="2" fontId="2" fillId="20" borderId="1" xfId="0" applyNumberFormat="1" applyFont="1" applyFill="1" applyBorder="1" applyAlignment="1"/>
    <xf numFmtId="2" fontId="2" fillId="20" borderId="4" xfId="0" applyNumberFormat="1" applyFont="1" applyFill="1" applyBorder="1" applyAlignment="1">
      <alignment horizontal="right"/>
    </xf>
    <xf numFmtId="0" fontId="2" fillId="20" borderId="1" xfId="0" applyFont="1" applyFill="1" applyBorder="1" applyAlignment="1"/>
    <xf numFmtId="0" fontId="1" fillId="20" borderId="1" xfId="0" applyFont="1" applyFill="1" applyBorder="1" applyAlignment="1"/>
    <xf numFmtId="0" fontId="2" fillId="20" borderId="1" xfId="0" applyFont="1" applyFill="1" applyBorder="1" applyAlignment="1">
      <alignment horizontal="center"/>
    </xf>
    <xf numFmtId="0" fontId="2" fillId="3" borderId="0" xfId="0" applyFont="1" applyFill="1" applyAlignment="1"/>
    <xf numFmtId="0" fontId="1" fillId="21" borderId="1" xfId="0" applyFont="1" applyFill="1" applyBorder="1" applyAlignment="1"/>
    <xf numFmtId="2" fontId="2" fillId="21" borderId="1" xfId="0" applyNumberFormat="1" applyFont="1" applyFill="1" applyBorder="1" applyAlignment="1"/>
    <xf numFmtId="2" fontId="2" fillId="21" borderId="1" xfId="0" applyNumberFormat="1" applyFont="1" applyFill="1" applyBorder="1" applyAlignment="1">
      <alignment horizontal="right"/>
    </xf>
    <xf numFmtId="2" fontId="2" fillId="21" borderId="1" xfId="0" applyNumberFormat="1" applyFont="1" applyFill="1" applyBorder="1" applyAlignment="1"/>
    <xf numFmtId="2" fontId="2" fillId="21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22" borderId="8" xfId="0" applyFont="1" applyFill="1" applyBorder="1" applyAlignment="1"/>
    <xf numFmtId="2" fontId="2" fillId="22" borderId="7" xfId="0" applyNumberFormat="1" applyFont="1" applyFill="1" applyBorder="1" applyAlignment="1"/>
    <xf numFmtId="0" fontId="2" fillId="22" borderId="6" xfId="0" applyFont="1" applyFill="1" applyBorder="1" applyAlignment="1"/>
    <xf numFmtId="2" fontId="2" fillId="22" borderId="1" xfId="0" applyNumberFormat="1" applyFont="1" applyFill="1" applyBorder="1" applyAlignment="1"/>
    <xf numFmtId="2" fontId="2" fillId="22" borderId="4" xfId="0" applyNumberFormat="1" applyFont="1" applyFill="1" applyBorder="1" applyAlignment="1">
      <alignment horizontal="right"/>
    </xf>
    <xf numFmtId="0" fontId="7" fillId="22" borderId="9" xfId="0" applyFont="1" applyFill="1" applyBorder="1" applyAlignment="1">
      <alignment horizontal="left"/>
    </xf>
    <xf numFmtId="2" fontId="2" fillId="22" borderId="10" xfId="0" applyNumberFormat="1" applyFont="1" applyFill="1" applyBorder="1" applyAlignment="1"/>
    <xf numFmtId="2" fontId="2" fillId="22" borderId="10" xfId="0" applyNumberFormat="1" applyFont="1" applyFill="1" applyBorder="1" applyAlignment="1"/>
    <xf numFmtId="167" fontId="2" fillId="5" borderId="0" xfId="0" applyNumberFormat="1" applyFont="1" applyFill="1" applyAlignment="1"/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12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26"/>
  <sheetViews>
    <sheetView tabSelected="1" workbookViewId="0"/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  <col min="6" max="6" width="18.85546875" customWidth="1"/>
    <col min="9" max="9" width="11.85546875" customWidth="1"/>
    <col min="10" max="10" width="15.140625" customWidth="1"/>
    <col min="11" max="12" width="12.5703125" customWidth="1"/>
    <col min="13" max="13" width="14.42578125" customWidth="1"/>
    <col min="15" max="15" width="14.7109375" customWidth="1"/>
  </cols>
  <sheetData>
    <row r="1" spans="1:27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3" t="s">
        <v>1</v>
      </c>
      <c r="B3" s="3" t="s">
        <v>2</v>
      </c>
      <c r="C3" s="3" t="s">
        <v>3</v>
      </c>
      <c r="D3" s="4" t="s">
        <v>4</v>
      </c>
      <c r="E3" s="5"/>
      <c r="F3" s="6"/>
      <c r="G3" s="6"/>
      <c r="H3" s="6"/>
      <c r="I3" s="6"/>
      <c r="J3" s="7"/>
      <c r="K3" s="7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ht="15.75" customHeight="1" x14ac:dyDescent="0.2">
      <c r="A4" s="9" t="s">
        <v>5</v>
      </c>
      <c r="B4" s="10"/>
      <c r="C4" s="10"/>
      <c r="D4" s="11"/>
      <c r="E4" s="12"/>
      <c r="F4" s="2"/>
      <c r="G4" s="13"/>
      <c r="H4" s="13"/>
      <c r="I4" s="13"/>
      <c r="J4" s="2"/>
      <c r="K4" s="2"/>
      <c r="L4" s="2"/>
      <c r="M4" s="175" t="s">
        <v>6</v>
      </c>
      <c r="N4" s="176"/>
      <c r="O4" s="177"/>
      <c r="P4" s="2"/>
      <c r="Q4" s="2"/>
      <c r="R4" s="2"/>
      <c r="S4" s="2"/>
      <c r="T4" s="2"/>
      <c r="U4" s="2"/>
      <c r="V4" s="2"/>
      <c r="W4" s="2"/>
      <c r="X4" s="2"/>
    </row>
    <row r="5" spans="1:27" ht="15.75" customHeight="1" x14ac:dyDescent="0.2">
      <c r="A5" s="9" t="s">
        <v>7</v>
      </c>
      <c r="B5" s="10"/>
      <c r="C5" s="10"/>
      <c r="D5" s="11"/>
      <c r="E5" s="12"/>
      <c r="F5" s="2"/>
      <c r="G5" s="13"/>
      <c r="H5" s="13"/>
      <c r="I5" s="13"/>
      <c r="J5" s="2"/>
      <c r="K5" s="2"/>
      <c r="L5" s="2"/>
      <c r="M5" s="14" t="s">
        <v>8</v>
      </c>
      <c r="N5" s="15" t="s">
        <v>9</v>
      </c>
      <c r="O5" s="15" t="s">
        <v>10</v>
      </c>
      <c r="P5" s="2"/>
      <c r="Q5" s="2"/>
      <c r="R5" s="2"/>
      <c r="S5" s="2"/>
      <c r="T5" s="2"/>
      <c r="U5" s="2"/>
      <c r="V5" s="2"/>
      <c r="W5" s="2"/>
      <c r="X5" s="2"/>
    </row>
    <row r="6" spans="1:27" ht="15.75" customHeight="1" x14ac:dyDescent="0.2">
      <c r="A6" s="16" t="s">
        <v>11</v>
      </c>
      <c r="B6" s="17">
        <v>0</v>
      </c>
      <c r="C6" s="18">
        <v>24.85</v>
      </c>
      <c r="D6" s="19">
        <f t="shared" ref="D6:D13" si="0">SUM(B6*C6)</f>
        <v>0</v>
      </c>
      <c r="E6" s="12"/>
      <c r="F6" s="20"/>
      <c r="G6" s="21"/>
      <c r="H6" s="22"/>
      <c r="I6" s="22"/>
      <c r="J6" s="23"/>
      <c r="K6" s="23"/>
      <c r="L6" s="2"/>
      <c r="M6" s="14" t="s">
        <v>12</v>
      </c>
      <c r="N6" s="15"/>
      <c r="O6" s="24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spans="1:27" ht="15.75" customHeight="1" x14ac:dyDescent="0.2">
      <c r="A7" s="16" t="s">
        <v>13</v>
      </c>
      <c r="B7" s="17">
        <v>0.1</v>
      </c>
      <c r="C7" s="18">
        <v>24.85</v>
      </c>
      <c r="D7" s="19">
        <f t="shared" si="0"/>
        <v>2.4850000000000003</v>
      </c>
      <c r="E7" s="12"/>
      <c r="F7" s="20"/>
      <c r="G7" s="21"/>
      <c r="H7" s="22"/>
      <c r="I7" s="22"/>
      <c r="J7" s="23"/>
      <c r="K7" s="23"/>
      <c r="L7" s="2"/>
      <c r="M7" s="14"/>
      <c r="N7" s="15"/>
      <c r="O7" s="24"/>
      <c r="P7" s="2"/>
      <c r="Q7" s="2"/>
      <c r="R7" s="2"/>
      <c r="S7" s="2"/>
      <c r="T7" s="2"/>
      <c r="U7" s="2"/>
      <c r="V7" s="2"/>
      <c r="W7" s="2"/>
      <c r="X7" s="2"/>
    </row>
    <row r="8" spans="1:27" ht="15.75" customHeight="1" x14ac:dyDescent="0.2">
      <c r="A8" s="16" t="s">
        <v>14</v>
      </c>
      <c r="B8" s="17">
        <v>0.1</v>
      </c>
      <c r="C8" s="18">
        <v>16.68</v>
      </c>
      <c r="D8" s="19">
        <f t="shared" si="0"/>
        <v>1.6680000000000001</v>
      </c>
      <c r="E8" s="12"/>
      <c r="F8" s="20"/>
      <c r="G8" s="21"/>
      <c r="H8" s="22"/>
      <c r="I8" s="22"/>
      <c r="J8" s="23"/>
      <c r="K8" s="23"/>
      <c r="L8" s="2"/>
      <c r="M8" s="14"/>
      <c r="N8" s="15"/>
      <c r="O8" s="24"/>
      <c r="P8" s="2"/>
      <c r="Q8" s="2"/>
      <c r="R8" s="2"/>
      <c r="S8" s="2"/>
      <c r="T8" s="2"/>
      <c r="U8" s="2"/>
      <c r="V8" s="2"/>
      <c r="W8" s="2"/>
      <c r="X8" s="2"/>
    </row>
    <row r="9" spans="1:27" ht="15.75" customHeight="1" x14ac:dyDescent="0.2">
      <c r="A9" s="16" t="s">
        <v>15</v>
      </c>
      <c r="B9" s="17">
        <v>0</v>
      </c>
      <c r="C9" s="18">
        <v>24.85</v>
      </c>
      <c r="D9" s="19">
        <f t="shared" si="0"/>
        <v>0</v>
      </c>
      <c r="E9" s="12"/>
      <c r="F9" s="20"/>
      <c r="G9" s="21"/>
      <c r="H9" s="22"/>
      <c r="I9" s="22"/>
      <c r="J9" s="23"/>
      <c r="K9" s="23"/>
      <c r="L9" s="2"/>
      <c r="M9" s="14"/>
      <c r="N9" s="15"/>
      <c r="O9" s="24"/>
      <c r="P9" s="2"/>
      <c r="Q9" s="2"/>
      <c r="R9" s="2"/>
      <c r="S9" s="2"/>
      <c r="T9" s="2"/>
      <c r="U9" s="2"/>
      <c r="V9" s="2"/>
      <c r="W9" s="2"/>
      <c r="X9" s="2"/>
    </row>
    <row r="10" spans="1:27" ht="15.75" customHeight="1" x14ac:dyDescent="0.2">
      <c r="A10" s="16" t="s">
        <v>16</v>
      </c>
      <c r="B10" s="17">
        <v>1.85</v>
      </c>
      <c r="C10" s="17">
        <v>17.989999999999998</v>
      </c>
      <c r="D10" s="19">
        <f t="shared" si="0"/>
        <v>33.281500000000001</v>
      </c>
      <c r="E10" s="12"/>
      <c r="F10" s="20"/>
      <c r="G10" s="21"/>
      <c r="H10" s="22"/>
      <c r="I10" s="22"/>
      <c r="J10" s="23"/>
      <c r="K10" s="23"/>
      <c r="L10" s="2"/>
      <c r="M10" s="14"/>
      <c r="N10" s="15"/>
      <c r="O10" s="24"/>
      <c r="P10" s="2"/>
      <c r="Q10" s="2"/>
      <c r="R10" s="2"/>
      <c r="S10" s="2"/>
      <c r="T10" s="2"/>
      <c r="U10" s="2"/>
      <c r="V10" s="2"/>
      <c r="W10" s="2"/>
      <c r="X10" s="2"/>
    </row>
    <row r="11" spans="1:27" ht="15.75" customHeight="1" x14ac:dyDescent="0.2">
      <c r="A11" s="16" t="s">
        <v>17</v>
      </c>
      <c r="B11" s="17">
        <v>0</v>
      </c>
      <c r="C11" s="18">
        <v>22.97</v>
      </c>
      <c r="D11" s="19">
        <f t="shared" si="0"/>
        <v>0</v>
      </c>
      <c r="E11" s="12"/>
      <c r="F11" s="20"/>
      <c r="G11" s="21"/>
      <c r="H11" s="21"/>
      <c r="I11" s="22"/>
      <c r="J11" s="23"/>
      <c r="K11" s="23"/>
      <c r="L11" s="2"/>
      <c r="M11" s="14" t="s">
        <v>18</v>
      </c>
      <c r="N11" s="15"/>
      <c r="O11" s="24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spans="1:27" ht="15.75" customHeight="1" x14ac:dyDescent="0.2">
      <c r="A12" s="16" t="s">
        <v>19</v>
      </c>
      <c r="B12" s="17">
        <v>0</v>
      </c>
      <c r="C12" s="18">
        <v>23.5</v>
      </c>
      <c r="D12" s="19">
        <f t="shared" si="0"/>
        <v>0</v>
      </c>
      <c r="E12" s="12"/>
      <c r="F12" s="20"/>
      <c r="G12" s="21"/>
      <c r="H12" s="21"/>
      <c r="I12" s="22"/>
      <c r="J12" s="23"/>
      <c r="K12" s="23"/>
      <c r="L12" s="2"/>
      <c r="M12" s="14"/>
      <c r="N12" s="15"/>
      <c r="O12" s="24"/>
      <c r="P12" s="2"/>
      <c r="Q12" s="2"/>
      <c r="R12" s="2"/>
      <c r="S12" s="2"/>
      <c r="T12" s="2"/>
      <c r="U12" s="2"/>
      <c r="V12" s="2"/>
      <c r="W12" s="2"/>
      <c r="X12" s="2"/>
    </row>
    <row r="13" spans="1:27" ht="15.75" customHeight="1" x14ac:dyDescent="0.2">
      <c r="A13" s="16" t="s">
        <v>20</v>
      </c>
      <c r="B13" s="17">
        <v>3.1</v>
      </c>
      <c r="C13" s="17">
        <v>12.99</v>
      </c>
      <c r="D13" s="19">
        <f t="shared" si="0"/>
        <v>40.268999999999998</v>
      </c>
      <c r="E13" s="12"/>
      <c r="F13" s="20"/>
      <c r="G13" s="21"/>
      <c r="H13" s="21"/>
      <c r="I13" s="22"/>
      <c r="J13" s="23"/>
      <c r="K13" s="23"/>
      <c r="L13" s="2"/>
      <c r="M13" s="14"/>
      <c r="N13" s="15"/>
      <c r="O13" s="24"/>
      <c r="P13" s="2"/>
      <c r="Q13" s="2"/>
      <c r="R13" s="2"/>
      <c r="S13" s="2"/>
      <c r="T13" s="2"/>
      <c r="U13" s="2"/>
      <c r="V13" s="2"/>
      <c r="W13" s="2"/>
      <c r="X13" s="2"/>
    </row>
    <row r="14" spans="1:27" ht="15.75" customHeight="1" x14ac:dyDescent="0.2">
      <c r="A14" s="25"/>
      <c r="B14" s="26"/>
      <c r="C14" s="26"/>
      <c r="D14" s="27"/>
      <c r="E14" s="12"/>
      <c r="F14" s="20"/>
      <c r="G14" s="21"/>
      <c r="H14" s="21"/>
      <c r="I14" s="22"/>
      <c r="J14" s="23"/>
      <c r="K14" s="23"/>
      <c r="L14" s="2"/>
      <c r="M14" s="14"/>
      <c r="N14" s="15" t="s">
        <v>21</v>
      </c>
      <c r="O14" s="24">
        <f>SUM(O6+O11)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8" t="s">
        <v>22</v>
      </c>
      <c r="B15" s="29"/>
      <c r="C15" s="29"/>
      <c r="D15" s="30">
        <f t="shared" ref="D15:D21" si="1">SUM(B15*C15)</f>
        <v>0</v>
      </c>
      <c r="E15" s="12"/>
      <c r="F15" s="20"/>
      <c r="G15" s="21"/>
      <c r="H15" s="21"/>
      <c r="I15" s="22"/>
      <c r="J15" s="23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8" t="s">
        <v>23</v>
      </c>
      <c r="B16" s="31">
        <v>2.4500000000000002</v>
      </c>
      <c r="C16" s="31">
        <v>14.99</v>
      </c>
      <c r="D16" s="30">
        <f t="shared" si="1"/>
        <v>36.725500000000004</v>
      </c>
      <c r="E16" s="12"/>
      <c r="F16" s="20"/>
      <c r="G16" s="21"/>
      <c r="H16" s="21"/>
      <c r="I16" s="22"/>
      <c r="J16" s="23"/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4" ht="15.75" customHeight="1" x14ac:dyDescent="0.2">
      <c r="A17" s="28" t="s">
        <v>24</v>
      </c>
      <c r="B17" s="31">
        <v>0.9</v>
      </c>
      <c r="C17" s="32">
        <v>16.190000000000001</v>
      </c>
      <c r="D17" s="30">
        <f t="shared" si="1"/>
        <v>14.571000000000002</v>
      </c>
      <c r="E17" s="12"/>
      <c r="F17" s="20"/>
      <c r="G17" s="21"/>
      <c r="H17" s="21"/>
      <c r="I17" s="22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4" ht="15.75" customHeight="1" x14ac:dyDescent="0.2">
      <c r="A18" s="28" t="s">
        <v>25</v>
      </c>
      <c r="B18" s="31">
        <v>0.55000000000000004</v>
      </c>
      <c r="C18" s="32">
        <v>17.489999999999998</v>
      </c>
      <c r="D18" s="30">
        <f t="shared" si="1"/>
        <v>9.6195000000000004</v>
      </c>
      <c r="E18" s="12"/>
      <c r="F18" s="20"/>
      <c r="G18" s="21"/>
      <c r="H18" s="21"/>
      <c r="I18" s="22"/>
      <c r="J18" s="23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">
      <c r="A19" s="28" t="s">
        <v>26</v>
      </c>
      <c r="B19" s="31">
        <v>1.1000000000000001</v>
      </c>
      <c r="C19" s="32">
        <v>17.690000000000001</v>
      </c>
      <c r="D19" s="30">
        <f t="shared" si="1"/>
        <v>19.459000000000003</v>
      </c>
      <c r="E19" s="12"/>
      <c r="F19" s="20"/>
      <c r="G19" s="21"/>
      <c r="H19" s="21"/>
      <c r="I19" s="22"/>
      <c r="J19" s="23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4" ht="15.75" customHeight="1" x14ac:dyDescent="0.2">
      <c r="A20" s="28" t="s">
        <v>27</v>
      </c>
      <c r="B20" s="31">
        <v>0</v>
      </c>
      <c r="C20" s="31">
        <v>11.99</v>
      </c>
      <c r="D20" s="30">
        <f t="shared" si="1"/>
        <v>0</v>
      </c>
      <c r="E20" s="12"/>
      <c r="F20" s="20"/>
      <c r="G20" s="21"/>
      <c r="H20" s="21"/>
      <c r="I20" s="22"/>
      <c r="J20" s="2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4" ht="15.75" customHeight="1" x14ac:dyDescent="0.2">
      <c r="A21" s="33" t="s">
        <v>28</v>
      </c>
      <c r="B21" s="31">
        <v>0.6</v>
      </c>
      <c r="C21" s="31">
        <v>24</v>
      </c>
      <c r="D21" s="30">
        <f t="shared" si="1"/>
        <v>14.399999999999999</v>
      </c>
      <c r="E21" s="12"/>
      <c r="F21" s="20"/>
      <c r="G21" s="21"/>
      <c r="H21" s="21"/>
      <c r="I21" s="22"/>
      <c r="J21" s="2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4" ht="15.75" customHeight="1" x14ac:dyDescent="0.2">
      <c r="A22" s="25"/>
      <c r="B22" s="26"/>
      <c r="C22" s="26"/>
      <c r="D22" s="27"/>
      <c r="E22" s="12"/>
      <c r="F22" s="20"/>
      <c r="G22" s="21"/>
      <c r="H22" s="21"/>
      <c r="I22" s="22"/>
      <c r="J22" s="23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ht="15.75" customHeight="1" x14ac:dyDescent="0.2">
      <c r="A23" s="34" t="s">
        <v>29</v>
      </c>
      <c r="B23" s="35"/>
      <c r="C23" s="35"/>
      <c r="D23" s="36">
        <f t="shared" ref="D23:D29" si="2">SUM(B23*C23)</f>
        <v>0</v>
      </c>
      <c r="E23" s="12"/>
      <c r="F23" s="20"/>
      <c r="G23" s="21"/>
      <c r="H23" s="21"/>
      <c r="I23" s="22"/>
      <c r="J23" s="23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4" ht="15.75" customHeight="1" x14ac:dyDescent="0.2">
      <c r="A24" s="34" t="s">
        <v>30</v>
      </c>
      <c r="B24" s="37">
        <v>2.7</v>
      </c>
      <c r="C24" s="35">
        <v>14.89</v>
      </c>
      <c r="D24" s="36">
        <f t="shared" si="2"/>
        <v>40.203000000000003</v>
      </c>
      <c r="E24" s="12"/>
      <c r="F24" s="20"/>
      <c r="G24" s="21"/>
      <c r="H24" s="21"/>
      <c r="I24" s="22"/>
      <c r="J24" s="23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2">
      <c r="A25" s="34" t="s">
        <v>31</v>
      </c>
      <c r="B25" s="38">
        <v>1.2</v>
      </c>
      <c r="C25" s="39">
        <v>23.49</v>
      </c>
      <c r="D25" s="36">
        <f t="shared" si="2"/>
        <v>28.187999999999999</v>
      </c>
      <c r="E25" s="12"/>
      <c r="F25" s="20"/>
      <c r="G25" s="21"/>
      <c r="H25" s="21"/>
      <c r="I25" s="22"/>
      <c r="J25" s="23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4" ht="15.75" customHeight="1" x14ac:dyDescent="0.2">
      <c r="A26" s="34" t="s">
        <v>32</v>
      </c>
      <c r="B26" s="38">
        <v>1.4</v>
      </c>
      <c r="C26" s="39">
        <v>23.5</v>
      </c>
      <c r="D26" s="36">
        <f t="shared" si="2"/>
        <v>32.9</v>
      </c>
      <c r="E26" s="12"/>
      <c r="F26" s="20"/>
      <c r="G26" s="21"/>
      <c r="H26" s="21"/>
      <c r="I26" s="22"/>
      <c r="J26" s="23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4" ht="15.75" customHeight="1" x14ac:dyDescent="0.2">
      <c r="A27" s="34" t="s">
        <v>33</v>
      </c>
      <c r="B27" s="38">
        <v>0</v>
      </c>
      <c r="C27" s="38">
        <v>18.989999999999998</v>
      </c>
      <c r="D27" s="36">
        <f t="shared" si="2"/>
        <v>0</v>
      </c>
      <c r="E27" s="12"/>
      <c r="F27" s="20"/>
      <c r="G27" s="21"/>
      <c r="H27" s="21"/>
      <c r="I27" s="22"/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2">
      <c r="A28" s="34" t="s">
        <v>34</v>
      </c>
      <c r="B28" s="38">
        <v>4.6500000000000004</v>
      </c>
      <c r="C28" s="38">
        <v>18.989999999999998</v>
      </c>
      <c r="D28" s="36">
        <f t="shared" si="2"/>
        <v>88.3035</v>
      </c>
      <c r="E28" s="12"/>
      <c r="F28" s="20"/>
      <c r="G28" s="21"/>
      <c r="H28" s="21"/>
      <c r="I28" s="22"/>
      <c r="J28" s="23"/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">
      <c r="A29" s="34" t="s">
        <v>35</v>
      </c>
      <c r="B29" s="38">
        <f>1.2+0.6+1.6+0.8</f>
        <v>4.2</v>
      </c>
      <c r="C29" s="38">
        <v>18.989999999999998</v>
      </c>
      <c r="D29" s="36">
        <f t="shared" si="2"/>
        <v>79.757999999999996</v>
      </c>
      <c r="E29" s="12"/>
      <c r="F29" s="20"/>
      <c r="G29" s="21"/>
      <c r="H29" s="21"/>
      <c r="I29" s="22"/>
      <c r="J29" s="23"/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">
      <c r="A30" s="25"/>
      <c r="B30" s="26"/>
      <c r="C30" s="26"/>
      <c r="D30" s="27"/>
      <c r="E30" s="12"/>
      <c r="F30" s="20"/>
      <c r="G30" s="21"/>
      <c r="H30" s="21"/>
      <c r="I30" s="22"/>
      <c r="J30" s="23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">
      <c r="A31" s="40" t="s">
        <v>36</v>
      </c>
      <c r="B31" s="41"/>
      <c r="C31" s="41"/>
      <c r="D31" s="42">
        <f t="shared" ref="D31:D45" si="3">SUM(B31*C31)</f>
        <v>0</v>
      </c>
      <c r="E31" s="12"/>
      <c r="F31" s="20"/>
      <c r="G31" s="21"/>
      <c r="H31" s="21"/>
      <c r="I31" s="22"/>
      <c r="J31" s="23"/>
      <c r="K31" s="23"/>
      <c r="L31" s="2"/>
      <c r="M31" s="25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">
      <c r="A32" s="40" t="s">
        <v>37</v>
      </c>
      <c r="B32" s="43">
        <v>1.9</v>
      </c>
      <c r="C32" s="44">
        <v>17.989999999999998</v>
      </c>
      <c r="D32" s="42">
        <f t="shared" si="3"/>
        <v>34.180999999999997</v>
      </c>
      <c r="E32" s="12"/>
      <c r="F32" s="20"/>
      <c r="G32" s="21"/>
      <c r="H32" s="21"/>
      <c r="I32" s="22"/>
      <c r="J32" s="23"/>
      <c r="K32" s="2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40" t="s">
        <v>38</v>
      </c>
      <c r="B33" s="43">
        <v>0.5</v>
      </c>
      <c r="C33" s="43">
        <v>17.989999999999998</v>
      </c>
      <c r="D33" s="42">
        <f t="shared" si="3"/>
        <v>8.9949999999999992</v>
      </c>
      <c r="E33" s="12"/>
      <c r="F33" s="20"/>
      <c r="G33" s="21"/>
      <c r="H33" s="21"/>
      <c r="I33" s="22"/>
      <c r="J33" s="23"/>
      <c r="K33" s="2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40" t="s">
        <v>39</v>
      </c>
      <c r="B34" s="43">
        <v>1.2</v>
      </c>
      <c r="C34" s="43">
        <v>17.989999999999998</v>
      </c>
      <c r="D34" s="42">
        <f t="shared" si="3"/>
        <v>21.587999999999997</v>
      </c>
      <c r="E34" s="12"/>
      <c r="F34" s="20"/>
      <c r="G34" s="21"/>
      <c r="H34" s="21"/>
      <c r="I34" s="22"/>
      <c r="J34" s="23"/>
      <c r="K34" s="2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40" t="s">
        <v>40</v>
      </c>
      <c r="B35" s="43">
        <v>1.25</v>
      </c>
      <c r="C35" s="44">
        <v>16.489999999999998</v>
      </c>
      <c r="D35" s="42">
        <f t="shared" si="3"/>
        <v>20.612499999999997</v>
      </c>
      <c r="E35" s="12"/>
      <c r="F35" s="20"/>
      <c r="G35" s="21"/>
      <c r="H35" s="21"/>
      <c r="I35" s="22"/>
      <c r="J35" s="23"/>
      <c r="K35" s="2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40" t="s">
        <v>41</v>
      </c>
      <c r="B36" s="43">
        <v>0.5</v>
      </c>
      <c r="C36" s="44">
        <v>28.5</v>
      </c>
      <c r="D36" s="42">
        <f t="shared" si="3"/>
        <v>14.25</v>
      </c>
      <c r="E36" s="12"/>
      <c r="F36" s="20"/>
      <c r="G36" s="21"/>
      <c r="H36" s="21"/>
      <c r="I36" s="22"/>
      <c r="J36" s="23"/>
      <c r="K36" s="2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40" t="s">
        <v>42</v>
      </c>
      <c r="B37" s="43">
        <v>0</v>
      </c>
      <c r="C37" s="43">
        <v>23.49</v>
      </c>
      <c r="D37" s="42">
        <f t="shared" si="3"/>
        <v>0</v>
      </c>
      <c r="E37" s="12"/>
      <c r="F37" s="20"/>
      <c r="G37" s="21"/>
      <c r="H37" s="21"/>
      <c r="I37" s="22"/>
      <c r="J37" s="23"/>
      <c r="K37" s="2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40" t="s">
        <v>43</v>
      </c>
      <c r="B38" s="43">
        <v>0.9</v>
      </c>
      <c r="C38" s="44">
        <v>20.99</v>
      </c>
      <c r="D38" s="42">
        <f t="shared" si="3"/>
        <v>18.890999999999998</v>
      </c>
      <c r="E38" s="12"/>
      <c r="F38" s="20"/>
      <c r="G38" s="21"/>
      <c r="H38" s="21"/>
      <c r="I38" s="22"/>
      <c r="J38" s="23"/>
      <c r="K38" s="2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40" t="s">
        <v>44</v>
      </c>
      <c r="B39" s="43">
        <v>0.5</v>
      </c>
      <c r="C39" s="43">
        <v>14.99</v>
      </c>
      <c r="D39" s="42">
        <f t="shared" si="3"/>
        <v>7.4950000000000001</v>
      </c>
      <c r="E39" s="12"/>
      <c r="F39" s="20"/>
      <c r="G39" s="21"/>
      <c r="H39" s="21"/>
      <c r="I39" s="22"/>
      <c r="J39" s="23"/>
      <c r="K39" s="2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40" t="s">
        <v>45</v>
      </c>
      <c r="B40" s="43">
        <v>0</v>
      </c>
      <c r="C40" s="44">
        <v>31.99</v>
      </c>
      <c r="D40" s="42">
        <f t="shared" si="3"/>
        <v>0</v>
      </c>
      <c r="E40" s="12"/>
      <c r="F40" s="20"/>
      <c r="G40" s="21"/>
      <c r="H40" s="21"/>
      <c r="I40" s="22"/>
      <c r="J40" s="23"/>
      <c r="K40" s="2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45" t="s">
        <v>46</v>
      </c>
      <c r="B41" s="43">
        <v>0</v>
      </c>
      <c r="C41" s="43">
        <v>28</v>
      </c>
      <c r="D41" s="42">
        <f t="shared" si="3"/>
        <v>0</v>
      </c>
      <c r="E41" s="12"/>
      <c r="F41" s="20"/>
      <c r="G41" s="21"/>
      <c r="H41" s="21"/>
      <c r="I41" s="22"/>
      <c r="J41" s="23"/>
      <c r="K41" s="2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40" t="s">
        <v>47</v>
      </c>
      <c r="B42" s="43">
        <v>0.6</v>
      </c>
      <c r="C42" s="43">
        <v>15.99</v>
      </c>
      <c r="D42" s="42">
        <f t="shared" si="3"/>
        <v>9.5939999999999994</v>
      </c>
      <c r="E42" s="12"/>
      <c r="F42" s="20"/>
      <c r="G42" s="21"/>
      <c r="H42" s="21"/>
      <c r="I42" s="22"/>
      <c r="J42" s="23"/>
      <c r="K42" s="2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40" t="s">
        <v>48</v>
      </c>
      <c r="B43" s="43">
        <v>0.7</v>
      </c>
      <c r="C43" s="44">
        <v>20.29</v>
      </c>
      <c r="D43" s="42">
        <f t="shared" si="3"/>
        <v>14.202999999999998</v>
      </c>
      <c r="E43" s="12"/>
      <c r="F43" s="20"/>
      <c r="G43" s="21"/>
      <c r="H43" s="21"/>
      <c r="I43" s="22"/>
      <c r="J43" s="23"/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40" t="s">
        <v>49</v>
      </c>
      <c r="B44" s="43">
        <v>1.4</v>
      </c>
      <c r="C44" s="43">
        <v>12.49</v>
      </c>
      <c r="D44" s="42">
        <f t="shared" si="3"/>
        <v>17.486000000000001</v>
      </c>
      <c r="E44" s="12"/>
      <c r="F44" s="20"/>
      <c r="G44" s="21"/>
      <c r="H44" s="21"/>
      <c r="I44" s="22"/>
      <c r="J44" s="23"/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40" t="s">
        <v>50</v>
      </c>
      <c r="B45" s="43">
        <v>0.65</v>
      </c>
      <c r="C45" s="44">
        <v>16.989999999999998</v>
      </c>
      <c r="D45" s="42">
        <f t="shared" si="3"/>
        <v>11.0435</v>
      </c>
      <c r="E45" s="12"/>
      <c r="F45" s="20"/>
      <c r="G45" s="21"/>
      <c r="H45" s="21"/>
      <c r="I45" s="22"/>
      <c r="J45" s="23"/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25"/>
      <c r="B46" s="26"/>
      <c r="C46" s="26"/>
      <c r="D46" s="27"/>
      <c r="E46" s="12"/>
      <c r="F46" s="20"/>
      <c r="G46" s="21"/>
      <c r="H46" s="21"/>
      <c r="I46" s="22"/>
      <c r="J46" s="2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46" t="s">
        <v>51</v>
      </c>
      <c r="B47" s="47"/>
      <c r="C47" s="47"/>
      <c r="D47" s="48"/>
      <c r="E47" s="12"/>
      <c r="F47" s="20"/>
      <c r="G47" s="21"/>
      <c r="H47" s="21"/>
      <c r="I47" s="22"/>
      <c r="J47" s="23"/>
      <c r="K47" s="2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46" t="s">
        <v>52</v>
      </c>
      <c r="B48" s="49">
        <v>0.8</v>
      </c>
      <c r="C48" s="50">
        <v>16.489999999999998</v>
      </c>
      <c r="D48" s="48">
        <f t="shared" ref="D48:D51" si="4">SUM(B48*C48)</f>
        <v>13.192</v>
      </c>
      <c r="E48" s="12"/>
      <c r="F48" s="20"/>
      <c r="G48" s="21"/>
      <c r="H48" s="21"/>
      <c r="I48" s="22"/>
      <c r="J48" s="23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5.75" customHeight="1" x14ac:dyDescent="0.2">
      <c r="A49" s="46" t="s">
        <v>53</v>
      </c>
      <c r="B49" s="49">
        <v>2.1</v>
      </c>
      <c r="C49" s="50">
        <v>12.49</v>
      </c>
      <c r="D49" s="48">
        <f t="shared" si="4"/>
        <v>26.229000000000003</v>
      </c>
      <c r="E49" s="12"/>
      <c r="F49" s="20"/>
      <c r="G49" s="21"/>
      <c r="H49" s="21"/>
      <c r="I49" s="22"/>
      <c r="J49" s="23"/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5.75" customHeight="1" x14ac:dyDescent="0.2">
      <c r="A50" s="46" t="s">
        <v>54</v>
      </c>
      <c r="B50" s="49">
        <v>1.6</v>
      </c>
      <c r="C50" s="50">
        <v>12.49</v>
      </c>
      <c r="D50" s="48">
        <f t="shared" si="4"/>
        <v>19.984000000000002</v>
      </c>
      <c r="E50" s="12"/>
      <c r="F50" s="20"/>
      <c r="G50" s="21"/>
      <c r="H50" s="21"/>
      <c r="I50" s="22"/>
      <c r="J50" s="23"/>
      <c r="K50" s="2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5.75" customHeight="1" x14ac:dyDescent="0.2">
      <c r="A51" s="46" t="s">
        <v>55</v>
      </c>
      <c r="B51" s="49">
        <v>0.7</v>
      </c>
      <c r="C51" s="49">
        <v>8.99</v>
      </c>
      <c r="D51" s="48">
        <f t="shared" si="4"/>
        <v>6.2930000000000001</v>
      </c>
      <c r="E51" s="12"/>
      <c r="F51" s="20"/>
      <c r="G51" s="21"/>
      <c r="H51" s="21"/>
      <c r="I51" s="22"/>
      <c r="J51" s="23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5.75" customHeight="1" x14ac:dyDescent="0.2">
      <c r="A52" s="51" t="s">
        <v>56</v>
      </c>
      <c r="B52" s="49">
        <v>0.45</v>
      </c>
      <c r="C52" s="50">
        <v>11.99</v>
      </c>
      <c r="D52" s="48"/>
      <c r="E52" s="12"/>
      <c r="F52" s="20"/>
      <c r="G52" s="21"/>
      <c r="H52" s="21"/>
      <c r="I52" s="22"/>
      <c r="J52" s="23"/>
      <c r="K52" s="2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5.75" customHeight="1" x14ac:dyDescent="0.2">
      <c r="A53" s="46" t="s">
        <v>57</v>
      </c>
      <c r="B53" s="49">
        <v>1.35</v>
      </c>
      <c r="C53" s="49">
        <v>12.99</v>
      </c>
      <c r="D53" s="48">
        <f t="shared" ref="D53:D64" si="5">SUM(B53*C53)</f>
        <v>17.5365</v>
      </c>
      <c r="E53" s="12"/>
      <c r="F53" s="20"/>
      <c r="G53" s="21"/>
      <c r="H53" s="21"/>
      <c r="I53" s="22"/>
      <c r="J53" s="23"/>
      <c r="K53" s="2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5.75" customHeight="1" x14ac:dyDescent="0.2">
      <c r="A54" s="46" t="s">
        <v>58</v>
      </c>
      <c r="B54" s="49">
        <v>1</v>
      </c>
      <c r="C54" s="49">
        <v>11.99</v>
      </c>
      <c r="D54" s="48">
        <f t="shared" si="5"/>
        <v>11.99</v>
      </c>
      <c r="E54" s="12"/>
      <c r="F54" s="20"/>
      <c r="G54" s="21"/>
      <c r="H54" s="21"/>
      <c r="I54" s="22"/>
      <c r="J54" s="23"/>
      <c r="K54" s="2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">
      <c r="A55" s="46" t="s">
        <v>59</v>
      </c>
      <c r="B55" s="49">
        <v>2.5</v>
      </c>
      <c r="C55" s="50">
        <v>11.99</v>
      </c>
      <c r="D55" s="48">
        <f t="shared" si="5"/>
        <v>29.975000000000001</v>
      </c>
      <c r="E55" s="12"/>
      <c r="F55" s="20"/>
      <c r="G55" s="21"/>
      <c r="H55" s="21"/>
      <c r="I55" s="22"/>
      <c r="J55" s="23"/>
      <c r="K55" s="2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46" t="s">
        <v>60</v>
      </c>
      <c r="B56" s="49">
        <v>0.3</v>
      </c>
      <c r="C56" s="50">
        <v>12.29</v>
      </c>
      <c r="D56" s="48">
        <f t="shared" si="5"/>
        <v>3.6869999999999994</v>
      </c>
      <c r="E56" s="12"/>
      <c r="F56" s="20"/>
      <c r="G56" s="21"/>
      <c r="H56" s="21"/>
      <c r="I56" s="22"/>
      <c r="J56" s="23"/>
      <c r="K56" s="2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46" t="s">
        <v>61</v>
      </c>
      <c r="B57" s="49">
        <v>0.5</v>
      </c>
      <c r="C57" s="49">
        <v>11.49</v>
      </c>
      <c r="D57" s="48">
        <f t="shared" si="5"/>
        <v>5.7450000000000001</v>
      </c>
      <c r="E57" s="12"/>
      <c r="F57" s="20"/>
      <c r="G57" s="21"/>
      <c r="H57" s="21"/>
      <c r="I57" s="22"/>
      <c r="J57" s="23"/>
      <c r="K57" s="2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46" t="s">
        <v>62</v>
      </c>
      <c r="B58" s="49">
        <v>0.4</v>
      </c>
      <c r="C58" s="50">
        <v>9.99</v>
      </c>
      <c r="D58" s="48">
        <f t="shared" si="5"/>
        <v>3.9960000000000004</v>
      </c>
      <c r="E58" s="12"/>
      <c r="F58" s="20"/>
      <c r="G58" s="21"/>
      <c r="H58" s="21"/>
      <c r="I58" s="22"/>
      <c r="J58" s="23"/>
      <c r="K58" s="2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46" t="s">
        <v>63</v>
      </c>
      <c r="B59" s="49">
        <v>1.3</v>
      </c>
      <c r="C59" s="50">
        <v>14.99</v>
      </c>
      <c r="D59" s="48">
        <f t="shared" si="5"/>
        <v>19.487000000000002</v>
      </c>
      <c r="E59" s="12"/>
      <c r="F59" s="20"/>
      <c r="G59" s="21"/>
      <c r="H59" s="21"/>
      <c r="I59" s="22"/>
      <c r="J59" s="23"/>
      <c r="K59" s="2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46" t="s">
        <v>64</v>
      </c>
      <c r="B60" s="49">
        <v>1.25</v>
      </c>
      <c r="C60" s="50">
        <v>11.99</v>
      </c>
      <c r="D60" s="48">
        <f t="shared" si="5"/>
        <v>14.987500000000001</v>
      </c>
      <c r="E60" s="12"/>
      <c r="F60" s="20"/>
      <c r="G60" s="21"/>
      <c r="H60" s="21"/>
      <c r="I60" s="22"/>
      <c r="J60" s="23"/>
      <c r="K60" s="2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46" t="s">
        <v>65</v>
      </c>
      <c r="B61" s="49">
        <v>2</v>
      </c>
      <c r="C61" s="50">
        <v>14</v>
      </c>
      <c r="D61" s="48">
        <f t="shared" si="5"/>
        <v>28</v>
      </c>
      <c r="E61" s="12"/>
      <c r="F61" s="20"/>
      <c r="G61" s="21"/>
      <c r="H61" s="21"/>
      <c r="I61" s="22"/>
      <c r="J61" s="23"/>
      <c r="K61" s="2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51" t="s">
        <v>66</v>
      </c>
      <c r="B62" s="49">
        <v>3</v>
      </c>
      <c r="C62" s="50">
        <v>11.99</v>
      </c>
      <c r="D62" s="48">
        <f t="shared" si="5"/>
        <v>35.97</v>
      </c>
      <c r="E62" s="12"/>
      <c r="F62" s="20"/>
      <c r="G62" s="21"/>
      <c r="H62" s="21"/>
      <c r="I62" s="22"/>
      <c r="J62" s="23"/>
      <c r="K62" s="2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51" t="s">
        <v>67</v>
      </c>
      <c r="B63" s="49">
        <v>0.6</v>
      </c>
      <c r="C63" s="49">
        <v>14.99</v>
      </c>
      <c r="D63" s="48">
        <f t="shared" si="5"/>
        <v>8.9939999999999998</v>
      </c>
      <c r="E63" s="12"/>
      <c r="F63" s="20"/>
      <c r="G63" s="21"/>
      <c r="H63" s="21"/>
      <c r="I63" s="22"/>
      <c r="J63" s="23"/>
      <c r="K63" s="2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51" t="s">
        <v>68</v>
      </c>
      <c r="B64" s="49">
        <v>1</v>
      </c>
      <c r="C64" s="49">
        <v>300</v>
      </c>
      <c r="D64" s="48">
        <f t="shared" si="5"/>
        <v>300</v>
      </c>
      <c r="E64" s="12"/>
      <c r="F64" s="20"/>
      <c r="G64" s="21"/>
      <c r="H64" s="21"/>
      <c r="I64" s="22"/>
      <c r="J64" s="23"/>
      <c r="K64" s="2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25"/>
      <c r="B65" s="26"/>
      <c r="C65" s="26"/>
      <c r="D65" s="27"/>
      <c r="E65" s="12"/>
      <c r="F65" s="20"/>
      <c r="G65" s="21"/>
      <c r="H65" s="21"/>
      <c r="I65" s="22"/>
      <c r="J65" s="23"/>
      <c r="K65" s="2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5"/>
      <c r="B66" s="26"/>
      <c r="C66" s="26"/>
      <c r="D66" s="27"/>
      <c r="E66" s="12"/>
      <c r="F66" s="20"/>
      <c r="G66" s="21"/>
      <c r="H66" s="21"/>
      <c r="I66" s="22"/>
      <c r="J66" s="23"/>
      <c r="K66" s="2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52" t="s">
        <v>69</v>
      </c>
      <c r="B67" s="53"/>
      <c r="C67" s="53"/>
      <c r="D67" s="54">
        <f t="shared" ref="D67:D69" si="6">SUM(B67*C67)</f>
        <v>0</v>
      </c>
      <c r="E67" s="12"/>
      <c r="F67" s="20"/>
      <c r="G67" s="21"/>
      <c r="H67" s="21"/>
      <c r="I67" s="22"/>
      <c r="J67" s="23"/>
      <c r="K67" s="2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52" t="s">
        <v>70</v>
      </c>
      <c r="B68" s="55">
        <v>0</v>
      </c>
      <c r="C68" s="56">
        <v>6.99</v>
      </c>
      <c r="D68" s="54">
        <f t="shared" si="6"/>
        <v>0</v>
      </c>
      <c r="E68" s="12"/>
      <c r="F68" s="20"/>
      <c r="G68" s="21"/>
      <c r="H68" s="21"/>
      <c r="I68" s="22"/>
      <c r="J68" s="23"/>
      <c r="K68" s="2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52" t="s">
        <v>71</v>
      </c>
      <c r="B69" s="55">
        <v>0</v>
      </c>
      <c r="C69" s="56">
        <v>0</v>
      </c>
      <c r="D69" s="54">
        <f t="shared" si="6"/>
        <v>0</v>
      </c>
      <c r="E69" s="12"/>
      <c r="F69" s="20"/>
      <c r="G69" s="21"/>
      <c r="H69" s="21"/>
      <c r="I69" s="22"/>
      <c r="J69" s="23"/>
      <c r="K69" s="2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25"/>
      <c r="B70" s="26"/>
      <c r="C70" s="26"/>
      <c r="D70" s="27"/>
      <c r="E70" s="12"/>
      <c r="F70" s="20"/>
      <c r="G70" s="21"/>
      <c r="H70" s="21"/>
      <c r="I70" s="22"/>
      <c r="J70" s="23"/>
      <c r="K70" s="2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57" t="s">
        <v>72</v>
      </c>
      <c r="B71" s="26"/>
      <c r="C71" s="26"/>
      <c r="D71" s="27"/>
      <c r="E71" s="12"/>
      <c r="F71" s="20"/>
      <c r="G71" s="21"/>
      <c r="H71" s="21"/>
      <c r="I71" s="22"/>
      <c r="J71" s="23"/>
      <c r="K71" s="2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58" t="s">
        <v>73</v>
      </c>
      <c r="B72" s="59"/>
      <c r="C72" s="59"/>
      <c r="D72" s="60">
        <f t="shared" ref="D72:D76" si="7">SUM(B72*C72)</f>
        <v>0</v>
      </c>
      <c r="E72" s="12"/>
      <c r="F72" s="20"/>
      <c r="G72" s="21"/>
      <c r="H72" s="21"/>
      <c r="I72" s="22"/>
      <c r="J72" s="23"/>
      <c r="K72" s="2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58" t="s">
        <v>74</v>
      </c>
      <c r="B73" s="61">
        <v>0</v>
      </c>
      <c r="C73" s="62">
        <v>7.59</v>
      </c>
      <c r="D73" s="60">
        <f t="shared" si="7"/>
        <v>0</v>
      </c>
      <c r="E73" s="12"/>
      <c r="F73" s="20"/>
      <c r="G73" s="21"/>
      <c r="H73" s="21"/>
      <c r="I73" s="22"/>
      <c r="J73" s="23"/>
      <c r="K73" s="23"/>
      <c r="L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63" t="s">
        <v>75</v>
      </c>
      <c r="B74" s="61">
        <v>8.9</v>
      </c>
      <c r="C74" s="61">
        <v>6.71</v>
      </c>
      <c r="D74" s="60">
        <f t="shared" si="7"/>
        <v>59.719000000000001</v>
      </c>
      <c r="E74" s="12"/>
      <c r="F74" s="20"/>
      <c r="G74" s="21"/>
      <c r="H74" s="21"/>
      <c r="I74" s="22"/>
      <c r="J74" s="23"/>
      <c r="K74" s="23"/>
      <c r="L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58" t="s">
        <v>76</v>
      </c>
      <c r="B75" s="61">
        <v>12.5</v>
      </c>
      <c r="C75" s="64">
        <v>5.39</v>
      </c>
      <c r="D75" s="60">
        <f t="shared" si="7"/>
        <v>67.375</v>
      </c>
      <c r="E75" s="12"/>
      <c r="F75" s="20"/>
      <c r="G75" s="21"/>
      <c r="H75" s="21"/>
      <c r="I75" s="22"/>
      <c r="J75" s="23"/>
      <c r="K75" s="23"/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58"/>
      <c r="B76" s="62"/>
      <c r="C76" s="62"/>
      <c r="D76" s="60">
        <f t="shared" si="7"/>
        <v>0</v>
      </c>
      <c r="E76" s="12"/>
      <c r="F76" s="20"/>
      <c r="G76" s="21"/>
      <c r="H76" s="21"/>
      <c r="I76" s="22"/>
      <c r="J76" s="23"/>
      <c r="K76" s="23"/>
      <c r="L76" s="2"/>
      <c r="M76" s="178" t="s">
        <v>77</v>
      </c>
      <c r="N76" s="176"/>
      <c r="O76" s="17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65"/>
      <c r="B77" s="66"/>
      <c r="C77" s="66"/>
      <c r="D77" s="27"/>
      <c r="E77" s="12"/>
      <c r="F77" s="20"/>
      <c r="G77" s="21"/>
      <c r="H77" s="21"/>
      <c r="I77" s="22"/>
      <c r="J77" s="23"/>
      <c r="K77" s="23"/>
      <c r="L77" s="2"/>
      <c r="M77" s="67" t="s">
        <v>8</v>
      </c>
      <c r="N77" s="67" t="s">
        <v>9</v>
      </c>
      <c r="O77" s="67" t="s">
        <v>10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68" t="s">
        <v>78</v>
      </c>
      <c r="B78" s="69"/>
      <c r="C78" s="69"/>
      <c r="D78" s="70"/>
      <c r="E78" s="12"/>
      <c r="F78" s="20"/>
      <c r="G78" s="21"/>
      <c r="H78" s="21"/>
      <c r="I78" s="22"/>
      <c r="J78" s="23"/>
      <c r="K78" s="23"/>
      <c r="L78" s="2"/>
      <c r="M78" s="67" t="s">
        <v>79</v>
      </c>
      <c r="N78" s="67"/>
      <c r="O78" s="67">
        <f>SUM(175/750)*N78</f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68" t="s">
        <v>80</v>
      </c>
      <c r="B79" s="71">
        <v>0</v>
      </c>
      <c r="C79" s="71">
        <v>7.25</v>
      </c>
      <c r="D79" s="70">
        <f t="shared" ref="D79:D82" si="8">SUM(B79*C79)</f>
        <v>0</v>
      </c>
      <c r="E79" s="12"/>
      <c r="F79" s="20"/>
      <c r="G79" s="21"/>
      <c r="H79" s="21"/>
      <c r="I79" s="22"/>
      <c r="J79" s="23"/>
      <c r="K79" s="23"/>
      <c r="L79" s="2"/>
      <c r="M79" s="67"/>
      <c r="N79" s="67" t="s">
        <v>21</v>
      </c>
      <c r="O79" s="67" t="e">
        <f>SUM(O78+#REF!)</f>
        <v>#REF!</v>
      </c>
      <c r="P79" s="2"/>
      <c r="Q79" s="2"/>
      <c r="R79" s="2"/>
      <c r="S79" s="2"/>
      <c r="T79" s="2"/>
      <c r="U79" s="2"/>
      <c r="V79" s="2"/>
      <c r="W79" s="2"/>
      <c r="X79" s="2"/>
    </row>
    <row r="80" spans="1:27" ht="15.75" customHeight="1" x14ac:dyDescent="0.2">
      <c r="A80" s="72" t="s">
        <v>81</v>
      </c>
      <c r="B80" s="71">
        <v>2.1</v>
      </c>
      <c r="C80" s="71">
        <v>5.45</v>
      </c>
      <c r="D80" s="70">
        <f t="shared" si="8"/>
        <v>11.445</v>
      </c>
      <c r="E80" s="12"/>
      <c r="F80" s="20"/>
      <c r="G80" s="21"/>
      <c r="H80" s="21"/>
      <c r="I80" s="22"/>
      <c r="J80" s="23"/>
      <c r="K80" s="23"/>
      <c r="L80" s="2"/>
      <c r="M80" s="73"/>
      <c r="N80" s="73"/>
      <c r="O80" s="73"/>
      <c r="P80" s="2"/>
      <c r="Q80" s="2"/>
      <c r="R80" s="2"/>
      <c r="S80" s="2"/>
      <c r="T80" s="2"/>
      <c r="U80" s="2"/>
      <c r="V80" s="2"/>
      <c r="W80" s="2"/>
      <c r="X80" s="2"/>
    </row>
    <row r="81" spans="1:27" ht="15.75" customHeight="1" x14ac:dyDescent="0.2">
      <c r="A81" s="68" t="s">
        <v>82</v>
      </c>
      <c r="B81" s="71">
        <v>18.100000000000001</v>
      </c>
      <c r="C81" s="69">
        <v>5.88</v>
      </c>
      <c r="D81" s="70">
        <f t="shared" si="8"/>
        <v>106.42800000000001</v>
      </c>
      <c r="E81" s="12"/>
      <c r="F81" s="20"/>
      <c r="G81" s="21"/>
      <c r="H81" s="21"/>
      <c r="I81" s="22"/>
      <c r="J81" s="23"/>
      <c r="K81" s="23"/>
      <c r="L81" s="2"/>
      <c r="M81" s="73"/>
      <c r="N81" s="73"/>
      <c r="O81" s="73"/>
      <c r="P81" s="2"/>
      <c r="Q81" s="2"/>
      <c r="R81" s="2"/>
      <c r="S81" s="2"/>
      <c r="T81" s="2"/>
      <c r="U81" s="2"/>
      <c r="V81" s="2"/>
      <c r="W81" s="2"/>
      <c r="X81" s="2"/>
    </row>
    <row r="82" spans="1:27" ht="15.75" customHeight="1" x14ac:dyDescent="0.2">
      <c r="A82" s="68" t="s">
        <v>83</v>
      </c>
      <c r="B82" s="71">
        <v>0.8</v>
      </c>
      <c r="C82" s="69">
        <v>5.56</v>
      </c>
      <c r="D82" s="70">
        <f t="shared" si="8"/>
        <v>4.4479999999999995</v>
      </c>
      <c r="E82" s="12"/>
      <c r="F82" s="20"/>
      <c r="G82" s="21"/>
      <c r="H82" s="21"/>
      <c r="I82" s="22"/>
      <c r="J82" s="23"/>
      <c r="K82" s="2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7" ht="15.75" customHeight="1" x14ac:dyDescent="0.2">
      <c r="A83" s="57"/>
      <c r="B83" s="66"/>
      <c r="C83" s="66"/>
      <c r="D83" s="27"/>
      <c r="E83" s="12"/>
      <c r="F83" s="20"/>
      <c r="G83" s="21"/>
      <c r="H83" s="21"/>
      <c r="I83" s="22"/>
      <c r="J83" s="23"/>
      <c r="K83" s="2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7" ht="15.75" customHeight="1" x14ac:dyDescent="0.2">
      <c r="A84" s="74" t="s">
        <v>84</v>
      </c>
      <c r="B84" s="75"/>
      <c r="C84" s="75"/>
      <c r="D84" s="76"/>
      <c r="E84" s="12"/>
      <c r="F84" s="20"/>
      <c r="G84" s="21"/>
      <c r="H84" s="21"/>
      <c r="I84" s="22"/>
      <c r="J84" s="23"/>
      <c r="K84" s="2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7" ht="15.75" customHeight="1" x14ac:dyDescent="0.2">
      <c r="A85" s="74" t="s">
        <v>85</v>
      </c>
      <c r="B85" s="77">
        <v>14.9</v>
      </c>
      <c r="C85" s="75">
        <v>5.53</v>
      </c>
      <c r="D85" s="76">
        <f t="shared" ref="D85:D86" si="9">SUM(B85*C85)</f>
        <v>82.397000000000006</v>
      </c>
      <c r="E85" s="12"/>
      <c r="F85" s="20"/>
      <c r="G85" s="21"/>
      <c r="H85" s="21"/>
      <c r="I85" s="22"/>
      <c r="J85" s="23"/>
      <c r="K85" s="2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7" ht="15.75" customHeight="1" x14ac:dyDescent="0.2">
      <c r="A86" s="74" t="s">
        <v>86</v>
      </c>
      <c r="B86" s="77">
        <v>0</v>
      </c>
      <c r="C86" s="77">
        <v>5.96</v>
      </c>
      <c r="D86" s="76">
        <f t="shared" si="9"/>
        <v>0</v>
      </c>
      <c r="E86" s="12"/>
      <c r="F86" s="20"/>
      <c r="G86" s="21"/>
      <c r="H86" s="21"/>
      <c r="I86" s="22"/>
      <c r="J86" s="23"/>
      <c r="K86" s="2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7" ht="15.75" customHeight="1" x14ac:dyDescent="0.2">
      <c r="A87" s="57"/>
      <c r="B87" s="66"/>
      <c r="C87" s="66"/>
      <c r="D87" s="27"/>
      <c r="E87" s="12"/>
      <c r="F87" s="20"/>
      <c r="G87" s="21"/>
      <c r="H87" s="21"/>
      <c r="I87" s="22"/>
      <c r="J87" s="23"/>
      <c r="K87" s="2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7" ht="15.75" customHeight="1" x14ac:dyDescent="0.2">
      <c r="A88" s="78" t="s">
        <v>87</v>
      </c>
      <c r="B88" s="79"/>
      <c r="C88" s="79"/>
      <c r="D88" s="80"/>
      <c r="E88" s="12"/>
      <c r="F88" s="20"/>
      <c r="G88" s="21"/>
      <c r="H88" s="21"/>
      <c r="I88" s="22"/>
      <c r="J88" s="23"/>
      <c r="K88" s="2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78" t="s">
        <v>88</v>
      </c>
      <c r="B89" s="81">
        <v>0</v>
      </c>
      <c r="C89" s="82">
        <v>6.99</v>
      </c>
      <c r="D89" s="80">
        <f t="shared" ref="D89:D91" si="10">SUM(B89*C89)</f>
        <v>0</v>
      </c>
      <c r="E89" s="12"/>
      <c r="F89" s="20"/>
      <c r="G89" s="21"/>
      <c r="H89" s="21"/>
      <c r="I89" s="22"/>
      <c r="J89" s="23"/>
      <c r="K89" s="23"/>
      <c r="L89" s="2"/>
      <c r="M89" s="83"/>
      <c r="N89" s="83"/>
      <c r="O89" s="8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84" t="s">
        <v>89</v>
      </c>
      <c r="B90" s="81">
        <v>11</v>
      </c>
      <c r="C90" s="81">
        <v>7.44</v>
      </c>
      <c r="D90" s="80">
        <f t="shared" si="10"/>
        <v>81.84</v>
      </c>
      <c r="E90" s="12"/>
      <c r="F90" s="20"/>
      <c r="G90" s="21"/>
      <c r="H90" s="21"/>
      <c r="I90" s="22"/>
      <c r="J90" s="23"/>
      <c r="K90" s="23"/>
      <c r="L90" s="2"/>
      <c r="M90" s="83"/>
      <c r="N90" s="83"/>
      <c r="O90" s="8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78" t="s">
        <v>90</v>
      </c>
      <c r="B91" s="81">
        <v>0.5</v>
      </c>
      <c r="C91" s="82">
        <v>5.66</v>
      </c>
      <c r="D91" s="80">
        <f t="shared" si="10"/>
        <v>2.83</v>
      </c>
      <c r="E91" s="12"/>
      <c r="F91" s="20"/>
      <c r="G91" s="21"/>
      <c r="H91" s="21"/>
      <c r="I91" s="22"/>
      <c r="J91" s="23"/>
      <c r="K91" s="23"/>
      <c r="L91" s="2"/>
      <c r="M91" s="83"/>
      <c r="N91" s="83"/>
      <c r="O91" s="8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25"/>
      <c r="B92" s="85"/>
      <c r="C92" s="26"/>
      <c r="D92" s="27"/>
      <c r="E92" s="12"/>
      <c r="F92" s="20"/>
      <c r="G92" s="21"/>
      <c r="H92" s="21"/>
      <c r="I92" s="22"/>
      <c r="J92" s="23"/>
      <c r="K92" s="23"/>
      <c r="L92" s="2"/>
      <c r="M92" s="86" t="s">
        <v>91</v>
      </c>
      <c r="N92" s="86"/>
      <c r="O92" s="86">
        <f>SUM(125/750)*N92</f>
        <v>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87" t="s">
        <v>92</v>
      </c>
      <c r="B93" s="88"/>
      <c r="C93" s="88"/>
      <c r="D93" s="89"/>
      <c r="E93" s="12"/>
      <c r="F93" s="20"/>
      <c r="G93" s="21"/>
      <c r="H93" s="21"/>
      <c r="I93" s="22"/>
      <c r="J93" s="23"/>
      <c r="K93" s="2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90" t="s">
        <v>93</v>
      </c>
      <c r="B94" s="91">
        <v>0.5</v>
      </c>
      <c r="C94" s="91">
        <v>1.0900000000000001</v>
      </c>
      <c r="D94" s="89">
        <f t="shared" ref="D94:D106" si="11">SUM(B94*C94)</f>
        <v>0.54500000000000004</v>
      </c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7" ht="15.75" customHeight="1" x14ac:dyDescent="0.2">
      <c r="A95" s="90" t="s">
        <v>94</v>
      </c>
      <c r="B95" s="91">
        <v>24.6</v>
      </c>
      <c r="C95" s="91">
        <v>1.1599999999999999</v>
      </c>
      <c r="D95" s="89">
        <f t="shared" si="11"/>
        <v>28.536000000000001</v>
      </c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7" ht="15.75" customHeight="1" x14ac:dyDescent="0.2">
      <c r="A96" s="90" t="s">
        <v>95</v>
      </c>
      <c r="B96" s="91">
        <v>0.5</v>
      </c>
      <c r="C96" s="92">
        <v>2.99</v>
      </c>
      <c r="D96" s="89">
        <f t="shared" si="11"/>
        <v>1.4950000000000001</v>
      </c>
      <c r="E96" s="12"/>
      <c r="F96" s="20"/>
      <c r="G96" s="21"/>
      <c r="H96" s="21"/>
      <c r="I96" s="93"/>
      <c r="J96" s="94"/>
      <c r="K96" s="9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90" t="s">
        <v>96</v>
      </c>
      <c r="B97" s="91">
        <v>2</v>
      </c>
      <c r="C97" s="92">
        <v>2.99</v>
      </c>
      <c r="D97" s="89">
        <f t="shared" si="11"/>
        <v>5.98</v>
      </c>
      <c r="E97" s="12"/>
      <c r="F97" s="20"/>
      <c r="G97" s="21"/>
      <c r="H97" s="21"/>
      <c r="I97" s="93"/>
      <c r="J97" s="94"/>
      <c r="K97" s="9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90" t="s">
        <v>97</v>
      </c>
      <c r="B98" s="91">
        <v>2.5</v>
      </c>
      <c r="C98" s="92">
        <v>2.99</v>
      </c>
      <c r="D98" s="89">
        <f t="shared" si="11"/>
        <v>7.4750000000000005</v>
      </c>
      <c r="E98" s="12"/>
      <c r="F98" s="20"/>
      <c r="G98" s="21"/>
      <c r="H98" s="21"/>
      <c r="I98" s="93"/>
      <c r="J98" s="94"/>
      <c r="K98" s="9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90" t="s">
        <v>98</v>
      </c>
      <c r="B99" s="91">
        <v>3.2</v>
      </c>
      <c r="C99" s="91">
        <v>0.75</v>
      </c>
      <c r="D99" s="89">
        <f t="shared" si="11"/>
        <v>2.4000000000000004</v>
      </c>
      <c r="E99" s="12"/>
      <c r="F99" s="20"/>
      <c r="G99" s="21"/>
      <c r="H99" s="21"/>
      <c r="I99" s="93"/>
      <c r="J99" s="94"/>
      <c r="K99" s="9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90" t="s">
        <v>99</v>
      </c>
      <c r="B100" s="91">
        <f>18+5+15</f>
        <v>38</v>
      </c>
      <c r="C100" s="91">
        <v>0.7</v>
      </c>
      <c r="D100" s="89">
        <f t="shared" si="11"/>
        <v>26.599999999999998</v>
      </c>
      <c r="E100" s="12"/>
      <c r="F100" s="20"/>
      <c r="G100" s="21"/>
      <c r="H100" s="21"/>
      <c r="I100" s="93"/>
      <c r="J100" s="94"/>
      <c r="K100" s="9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90" t="s">
        <v>100</v>
      </c>
      <c r="B101" s="91">
        <v>0</v>
      </c>
      <c r="C101" s="91">
        <v>0.7</v>
      </c>
      <c r="D101" s="89">
        <f t="shared" si="11"/>
        <v>0</v>
      </c>
      <c r="E101" s="12"/>
      <c r="F101" s="20"/>
      <c r="G101" s="21"/>
      <c r="H101" s="21"/>
      <c r="I101" s="93"/>
      <c r="J101" s="94"/>
      <c r="K101" s="9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90" t="s">
        <v>101</v>
      </c>
      <c r="B102" s="91">
        <v>56</v>
      </c>
      <c r="C102" s="91">
        <v>0.94</v>
      </c>
      <c r="D102" s="89">
        <f t="shared" si="11"/>
        <v>52.64</v>
      </c>
      <c r="E102" s="12"/>
      <c r="F102" s="20"/>
      <c r="G102" s="21"/>
      <c r="H102" s="21"/>
      <c r="I102" s="93"/>
      <c r="J102" s="94"/>
      <c r="K102" s="9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90" t="s">
        <v>102</v>
      </c>
      <c r="B103" s="91">
        <v>13</v>
      </c>
      <c r="C103" s="91">
        <v>1.24</v>
      </c>
      <c r="D103" s="89">
        <f t="shared" si="11"/>
        <v>16.12</v>
      </c>
      <c r="E103" s="12"/>
      <c r="F103" s="20"/>
      <c r="G103" s="21"/>
      <c r="H103" s="21"/>
      <c r="I103" s="93"/>
      <c r="J103" s="94"/>
      <c r="K103" s="9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90" t="s">
        <v>103</v>
      </c>
      <c r="B104" s="91">
        <v>7.1</v>
      </c>
      <c r="C104" s="92">
        <v>5.05</v>
      </c>
      <c r="D104" s="89">
        <f t="shared" si="11"/>
        <v>35.854999999999997</v>
      </c>
      <c r="E104" s="12"/>
      <c r="F104" s="20"/>
      <c r="G104" s="21"/>
      <c r="H104" s="21"/>
      <c r="I104" s="93"/>
      <c r="J104" s="94"/>
      <c r="K104" s="9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95" t="s">
        <v>104</v>
      </c>
      <c r="B105" s="91">
        <v>40</v>
      </c>
      <c r="C105" s="91">
        <v>0.15</v>
      </c>
      <c r="D105" s="89">
        <f t="shared" si="11"/>
        <v>6</v>
      </c>
      <c r="E105" s="12"/>
      <c r="F105" s="20"/>
      <c r="G105" s="21"/>
      <c r="H105" s="21"/>
      <c r="I105" s="93"/>
      <c r="J105" s="94"/>
      <c r="K105" s="9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95" t="s">
        <v>105</v>
      </c>
      <c r="B106" s="91">
        <v>6</v>
      </c>
      <c r="C106" s="91">
        <v>0.55000000000000004</v>
      </c>
      <c r="D106" s="89">
        <f t="shared" si="11"/>
        <v>3.3000000000000003</v>
      </c>
      <c r="E106" s="12"/>
      <c r="F106" s="20"/>
      <c r="G106" s="21"/>
      <c r="H106" s="21"/>
      <c r="I106" s="93"/>
      <c r="J106" s="94"/>
      <c r="K106" s="9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90"/>
      <c r="B107" s="91"/>
      <c r="C107" s="92"/>
      <c r="D107" s="89"/>
      <c r="E107" s="12"/>
      <c r="F107" s="20"/>
      <c r="G107" s="21"/>
      <c r="H107" s="21"/>
      <c r="I107" s="93"/>
      <c r="J107" s="94"/>
      <c r="K107" s="9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96" t="s">
        <v>72</v>
      </c>
      <c r="B108" s="97"/>
      <c r="C108" s="98"/>
      <c r="D108" s="99"/>
      <c r="E108" s="12"/>
      <c r="F108" s="20"/>
      <c r="G108" s="21"/>
      <c r="H108" s="21"/>
      <c r="I108" s="22"/>
      <c r="J108" s="23"/>
      <c r="K108" s="23"/>
      <c r="L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100" t="s">
        <v>73</v>
      </c>
      <c r="B109" s="101"/>
      <c r="C109" s="102"/>
      <c r="D109" s="103"/>
      <c r="E109" s="12"/>
      <c r="F109" s="20"/>
      <c r="G109" s="21"/>
      <c r="H109" s="21"/>
      <c r="I109" s="22"/>
      <c r="J109" s="23"/>
      <c r="K109" s="23"/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100" t="s">
        <v>106</v>
      </c>
      <c r="B110" s="104">
        <v>0</v>
      </c>
      <c r="C110" s="105">
        <v>5.98</v>
      </c>
      <c r="D110" s="106">
        <v>0</v>
      </c>
      <c r="E110" s="12"/>
      <c r="F110" s="20"/>
      <c r="G110" s="21"/>
      <c r="H110" s="21"/>
      <c r="I110" s="22"/>
      <c r="J110" s="23"/>
      <c r="K110" s="23"/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100" t="s">
        <v>107</v>
      </c>
      <c r="B111" s="104">
        <v>0</v>
      </c>
      <c r="C111" s="105">
        <v>7.23</v>
      </c>
      <c r="D111" s="106">
        <v>0</v>
      </c>
      <c r="E111" s="12"/>
      <c r="F111" s="20"/>
      <c r="G111" s="21"/>
      <c r="H111" s="21"/>
      <c r="I111" s="22"/>
      <c r="J111" s="23"/>
      <c r="K111" s="23"/>
      <c r="L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65"/>
      <c r="B112" s="26"/>
      <c r="C112" s="26"/>
      <c r="D112" s="27"/>
      <c r="E112" s="12"/>
      <c r="F112" s="20"/>
      <c r="G112" s="21"/>
      <c r="H112" s="21"/>
      <c r="I112" s="22"/>
      <c r="J112" s="23"/>
      <c r="K112" s="23"/>
      <c r="L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107" t="s">
        <v>78</v>
      </c>
      <c r="B113" s="108"/>
      <c r="C113" s="109"/>
      <c r="D113" s="110"/>
      <c r="E113" s="12"/>
      <c r="F113" s="20"/>
      <c r="G113" s="21"/>
      <c r="H113" s="21"/>
      <c r="I113" s="22"/>
      <c r="J113" s="23"/>
      <c r="K113" s="23"/>
      <c r="L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107" t="s">
        <v>108</v>
      </c>
      <c r="B114" s="111">
        <v>10.1</v>
      </c>
      <c r="C114" s="112">
        <v>5.41</v>
      </c>
      <c r="D114" s="113">
        <v>0</v>
      </c>
      <c r="E114" s="12"/>
      <c r="F114" s="20"/>
      <c r="G114" s="21"/>
      <c r="H114" s="21"/>
      <c r="I114" s="22"/>
      <c r="J114" s="23"/>
      <c r="K114" s="23"/>
      <c r="L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107" t="s">
        <v>109</v>
      </c>
      <c r="B115" s="111">
        <v>6</v>
      </c>
      <c r="C115" s="112">
        <v>5.8</v>
      </c>
      <c r="D115" s="113">
        <v>0</v>
      </c>
      <c r="E115" s="12"/>
      <c r="F115" s="20"/>
      <c r="G115" s="21"/>
      <c r="H115" s="21"/>
      <c r="I115" s="22"/>
      <c r="J115" s="23"/>
      <c r="K115" s="23"/>
      <c r="L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107" t="s">
        <v>110</v>
      </c>
      <c r="B116" s="111">
        <f>5.7+0.5+8</f>
        <v>14.2</v>
      </c>
      <c r="C116" s="112">
        <v>7</v>
      </c>
      <c r="D116" s="113">
        <v>0</v>
      </c>
      <c r="E116" s="12"/>
      <c r="F116" s="20"/>
      <c r="G116" s="21"/>
      <c r="H116" s="21"/>
      <c r="I116" s="22"/>
      <c r="J116" s="23"/>
      <c r="K116" s="23"/>
      <c r="L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65"/>
      <c r="B117" s="26"/>
      <c r="C117" s="26"/>
      <c r="D117" s="27"/>
      <c r="E117" s="12"/>
      <c r="F117" s="20"/>
      <c r="G117" s="21"/>
      <c r="H117" s="21"/>
      <c r="I117" s="22"/>
      <c r="J117" s="23"/>
      <c r="K117" s="23"/>
      <c r="L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114" t="s">
        <v>84</v>
      </c>
      <c r="B118" s="115"/>
      <c r="C118" s="116"/>
      <c r="D118" s="117"/>
      <c r="E118" s="12"/>
      <c r="F118" s="20"/>
      <c r="G118" s="21"/>
      <c r="H118" s="21"/>
      <c r="I118" s="22"/>
      <c r="J118" s="23"/>
      <c r="K118" s="23"/>
      <c r="L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114" t="s">
        <v>111</v>
      </c>
      <c r="B119" s="118">
        <v>0</v>
      </c>
      <c r="C119" s="119">
        <v>5.35</v>
      </c>
      <c r="D119" s="120">
        <v>0</v>
      </c>
      <c r="E119" s="12"/>
      <c r="F119" s="20"/>
      <c r="G119" s="21"/>
      <c r="H119" s="21"/>
      <c r="I119" s="22"/>
      <c r="J119" s="23"/>
      <c r="K119" s="23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114" t="s">
        <v>112</v>
      </c>
      <c r="B120" s="118">
        <v>16.5</v>
      </c>
      <c r="C120" s="119">
        <v>5.8</v>
      </c>
      <c r="D120" s="120">
        <v>0</v>
      </c>
      <c r="E120" s="12"/>
      <c r="F120" s="20"/>
      <c r="G120" s="21"/>
      <c r="H120" s="21"/>
      <c r="I120" s="22"/>
      <c r="J120" s="23"/>
      <c r="K120" s="23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96"/>
      <c r="B121" s="121"/>
      <c r="C121" s="122"/>
      <c r="D121" s="123"/>
      <c r="E121" s="124"/>
      <c r="F121" s="20"/>
      <c r="G121" s="21"/>
      <c r="H121" s="21"/>
      <c r="I121" s="22"/>
      <c r="J121" s="23"/>
      <c r="K121" s="23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125" t="s">
        <v>87</v>
      </c>
      <c r="B122" s="126"/>
      <c r="C122" s="127"/>
      <c r="D122" s="128"/>
      <c r="E122" s="124"/>
      <c r="F122" s="20"/>
      <c r="G122" s="21"/>
      <c r="H122" s="21"/>
      <c r="I122" s="22"/>
      <c r="J122" s="23"/>
      <c r="K122" s="23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125" t="s">
        <v>113</v>
      </c>
      <c r="B123" s="129">
        <v>0</v>
      </c>
      <c r="C123" s="130">
        <v>6.92</v>
      </c>
      <c r="D123" s="131">
        <v>0</v>
      </c>
      <c r="E123" s="124"/>
      <c r="F123" s="20"/>
      <c r="G123" s="21"/>
      <c r="H123" s="21"/>
      <c r="I123" s="22"/>
      <c r="J123" s="23"/>
      <c r="K123" s="23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125" t="s">
        <v>114</v>
      </c>
      <c r="B124" s="129">
        <v>0</v>
      </c>
      <c r="C124" s="130">
        <v>7.21</v>
      </c>
      <c r="D124" s="131">
        <v>0</v>
      </c>
      <c r="E124" s="124"/>
      <c r="F124" s="20"/>
      <c r="G124" s="21"/>
      <c r="H124" s="21"/>
      <c r="I124" s="22"/>
      <c r="J124" s="23"/>
      <c r="K124" s="23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125" t="s">
        <v>115</v>
      </c>
      <c r="B125" s="129">
        <v>2</v>
      </c>
      <c r="C125" s="130">
        <v>5.74</v>
      </c>
      <c r="D125" s="131">
        <v>0</v>
      </c>
      <c r="E125" s="124"/>
      <c r="F125" s="20"/>
      <c r="G125" s="21"/>
      <c r="H125" s="21"/>
      <c r="I125" s="22"/>
      <c r="J125" s="23"/>
      <c r="K125" s="23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96"/>
      <c r="B126" s="121"/>
      <c r="C126" s="122"/>
      <c r="D126" s="123"/>
      <c r="E126" s="124"/>
      <c r="F126" s="20"/>
      <c r="G126" s="21"/>
      <c r="H126" s="21"/>
      <c r="I126" s="22"/>
      <c r="J126" s="23"/>
      <c r="K126" s="23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132" t="s">
        <v>116</v>
      </c>
      <c r="B127" s="133"/>
      <c r="C127" s="133"/>
      <c r="D127" s="134"/>
      <c r="E127" s="12"/>
      <c r="F127" s="20"/>
      <c r="G127" s="21"/>
      <c r="H127" s="21"/>
      <c r="I127" s="22"/>
      <c r="J127" s="23"/>
      <c r="K127" s="23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132" t="s">
        <v>117</v>
      </c>
      <c r="B128" s="135">
        <v>23</v>
      </c>
      <c r="C128" s="136">
        <v>1.37</v>
      </c>
      <c r="D128" s="134">
        <f t="shared" ref="D128:D145" si="12">SUM(B128*C128)</f>
        <v>31.51</v>
      </c>
      <c r="E128" s="12"/>
      <c r="F128" s="20"/>
      <c r="G128" s="96" t="s">
        <v>72</v>
      </c>
      <c r="H128" s="97"/>
      <c r="I128" s="98"/>
      <c r="J128" s="99"/>
      <c r="K128" s="23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132" t="s">
        <v>118</v>
      </c>
      <c r="B129" s="135">
        <f>44</f>
        <v>44</v>
      </c>
      <c r="C129" s="136">
        <v>1.37</v>
      </c>
      <c r="D129" s="134">
        <f t="shared" si="12"/>
        <v>60.28</v>
      </c>
      <c r="E129" s="12"/>
      <c r="F129" s="20"/>
      <c r="G129" s="100" t="s">
        <v>73</v>
      </c>
      <c r="H129" s="101"/>
      <c r="I129" s="102"/>
      <c r="J129" s="103"/>
      <c r="K129" s="23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137" t="s">
        <v>119</v>
      </c>
      <c r="B130" s="135">
        <v>8</v>
      </c>
      <c r="C130" s="136">
        <v>1.19</v>
      </c>
      <c r="D130" s="134">
        <f t="shared" si="12"/>
        <v>9.52</v>
      </c>
      <c r="E130" s="12"/>
      <c r="F130" s="20"/>
      <c r="G130" s="100" t="s">
        <v>106</v>
      </c>
      <c r="H130" s="138"/>
      <c r="I130" s="105">
        <v>5.98</v>
      </c>
      <c r="J130" s="106">
        <v>0</v>
      </c>
      <c r="K130" s="23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132" t="s">
        <v>120</v>
      </c>
      <c r="B131" s="135">
        <v>7</v>
      </c>
      <c r="C131" s="136">
        <v>1.08</v>
      </c>
      <c r="D131" s="134">
        <f t="shared" si="12"/>
        <v>7.5600000000000005</v>
      </c>
      <c r="E131" s="12"/>
      <c r="F131" s="20"/>
      <c r="G131" s="100" t="s">
        <v>107</v>
      </c>
      <c r="H131" s="138"/>
      <c r="I131" s="105">
        <v>7.23</v>
      </c>
      <c r="J131" s="106">
        <v>0</v>
      </c>
      <c r="K131" s="23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132" t="s">
        <v>121</v>
      </c>
      <c r="B132" s="135">
        <v>10</v>
      </c>
      <c r="C132" s="135">
        <v>0.94</v>
      </c>
      <c r="D132" s="134">
        <f t="shared" si="12"/>
        <v>9.3999999999999986</v>
      </c>
      <c r="E132" s="12"/>
      <c r="F132" s="20"/>
      <c r="G132" s="96"/>
      <c r="H132" s="121"/>
      <c r="I132" s="122"/>
      <c r="J132" s="123"/>
      <c r="K132" s="23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137" t="s">
        <v>122</v>
      </c>
      <c r="B133" s="135">
        <v>0</v>
      </c>
      <c r="C133" s="135">
        <v>0.94</v>
      </c>
      <c r="D133" s="134">
        <f t="shared" si="12"/>
        <v>0</v>
      </c>
      <c r="E133" s="12"/>
      <c r="F133" s="20"/>
      <c r="G133" s="96"/>
      <c r="H133" s="121"/>
      <c r="I133" s="122"/>
      <c r="J133" s="123"/>
      <c r="K133" s="23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132" t="s">
        <v>123</v>
      </c>
      <c r="B134" s="135">
        <v>0</v>
      </c>
      <c r="C134" s="136">
        <v>6.27</v>
      </c>
      <c r="D134" s="134">
        <f t="shared" si="12"/>
        <v>0</v>
      </c>
      <c r="E134" s="12"/>
      <c r="F134" s="20"/>
      <c r="G134" s="139"/>
      <c r="H134" s="121"/>
      <c r="I134" s="140"/>
      <c r="J134" s="99"/>
      <c r="K134" s="23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137" t="s">
        <v>124</v>
      </c>
      <c r="B135" s="135">
        <v>0</v>
      </c>
      <c r="C135" s="135">
        <v>1.1200000000000001</v>
      </c>
      <c r="D135" s="134">
        <f t="shared" si="12"/>
        <v>0</v>
      </c>
      <c r="E135" s="12"/>
      <c r="F135" s="20"/>
      <c r="G135" s="107" t="s">
        <v>78</v>
      </c>
      <c r="H135" s="108"/>
      <c r="I135" s="109"/>
      <c r="J135" s="110"/>
      <c r="K135" s="23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132" t="s">
        <v>125</v>
      </c>
      <c r="B136" s="135">
        <v>0</v>
      </c>
      <c r="C136" s="136">
        <v>2.1</v>
      </c>
      <c r="D136" s="134">
        <f t="shared" si="12"/>
        <v>0</v>
      </c>
      <c r="E136" s="12"/>
      <c r="F136" s="20"/>
      <c r="G136" s="107" t="s">
        <v>108</v>
      </c>
      <c r="H136" s="108"/>
      <c r="I136" s="112">
        <v>5.41</v>
      </c>
      <c r="J136" s="113">
        <v>0</v>
      </c>
      <c r="K136" s="23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132" t="s">
        <v>126</v>
      </c>
      <c r="B137" s="135">
        <v>0</v>
      </c>
      <c r="C137" s="136">
        <v>1.75</v>
      </c>
      <c r="D137" s="134">
        <f t="shared" si="12"/>
        <v>0</v>
      </c>
      <c r="E137" s="12"/>
      <c r="F137" s="20"/>
      <c r="G137" s="107" t="s">
        <v>109</v>
      </c>
      <c r="H137" s="108"/>
      <c r="I137" s="112">
        <v>5.8</v>
      </c>
      <c r="J137" s="113">
        <v>0</v>
      </c>
      <c r="K137" s="23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132" t="s">
        <v>127</v>
      </c>
      <c r="B138" s="135">
        <v>0</v>
      </c>
      <c r="C138" s="136">
        <v>2.41</v>
      </c>
      <c r="D138" s="134">
        <f t="shared" si="12"/>
        <v>0</v>
      </c>
      <c r="E138" s="12"/>
      <c r="F138" s="20"/>
      <c r="G138" s="107" t="s">
        <v>110</v>
      </c>
      <c r="H138" s="108"/>
      <c r="I138" s="112">
        <v>7</v>
      </c>
      <c r="J138" s="113">
        <v>0</v>
      </c>
      <c r="K138" s="23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132" t="s">
        <v>128</v>
      </c>
      <c r="B139" s="135">
        <v>288</v>
      </c>
      <c r="C139" s="136">
        <v>1.7</v>
      </c>
      <c r="D139" s="134">
        <f t="shared" si="12"/>
        <v>489.59999999999997</v>
      </c>
      <c r="E139" s="12"/>
      <c r="F139" s="20"/>
      <c r="G139" s="96"/>
      <c r="H139" s="121"/>
      <c r="I139" s="122"/>
      <c r="J139" s="123"/>
      <c r="K139" s="23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132" t="s">
        <v>129</v>
      </c>
      <c r="B140" s="135">
        <v>29</v>
      </c>
      <c r="C140" s="135">
        <v>1.1200000000000001</v>
      </c>
      <c r="D140" s="134">
        <f t="shared" si="12"/>
        <v>32.480000000000004</v>
      </c>
      <c r="E140" s="12"/>
      <c r="F140" s="20"/>
      <c r="G140" s="96"/>
      <c r="H140" s="121"/>
      <c r="I140" s="122"/>
      <c r="J140" s="123"/>
      <c r="K140" s="23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137" t="s">
        <v>130</v>
      </c>
      <c r="B141" s="135">
        <v>354</v>
      </c>
      <c r="C141" s="135">
        <v>1.33</v>
      </c>
      <c r="D141" s="134">
        <f t="shared" si="12"/>
        <v>470.82000000000005</v>
      </c>
      <c r="E141" s="12"/>
      <c r="F141" s="20"/>
      <c r="G141" s="96"/>
      <c r="H141" s="121"/>
      <c r="I141" s="122"/>
      <c r="J141" s="123"/>
      <c r="K141" s="23"/>
      <c r="L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132" t="s">
        <v>131</v>
      </c>
      <c r="B142" s="135">
        <v>0</v>
      </c>
      <c r="C142" s="136">
        <v>0.89</v>
      </c>
      <c r="D142" s="134">
        <f t="shared" si="12"/>
        <v>0</v>
      </c>
      <c r="E142" s="12"/>
      <c r="F142" s="20"/>
      <c r="G142" s="141"/>
      <c r="H142" s="121"/>
      <c r="I142" s="140"/>
      <c r="J142" s="99"/>
      <c r="K142" s="23"/>
      <c r="L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137" t="s">
        <v>132</v>
      </c>
      <c r="B143" s="135">
        <v>0</v>
      </c>
      <c r="C143" s="135">
        <v>1.5</v>
      </c>
      <c r="D143" s="134">
        <f t="shared" si="12"/>
        <v>0</v>
      </c>
      <c r="E143" s="12"/>
      <c r="F143" s="20"/>
      <c r="G143" s="114" t="s">
        <v>84</v>
      </c>
      <c r="H143" s="115"/>
      <c r="I143" s="116"/>
      <c r="J143" s="117"/>
      <c r="K143" s="23"/>
      <c r="L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137" t="s">
        <v>133</v>
      </c>
      <c r="B144" s="135">
        <v>6</v>
      </c>
      <c r="C144" s="135">
        <v>1.7</v>
      </c>
      <c r="D144" s="134">
        <f t="shared" si="12"/>
        <v>10.199999999999999</v>
      </c>
      <c r="E144" s="12"/>
      <c r="F144" s="20"/>
      <c r="G144" s="114" t="s">
        <v>111</v>
      </c>
      <c r="H144" s="115"/>
      <c r="I144" s="119">
        <v>5.35</v>
      </c>
      <c r="J144" s="120">
        <v>0</v>
      </c>
      <c r="K144" s="23"/>
      <c r="L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137" t="s">
        <v>134</v>
      </c>
      <c r="B145" s="135">
        <v>8</v>
      </c>
      <c r="C145" s="135">
        <v>1.7</v>
      </c>
      <c r="D145" s="134">
        <f t="shared" si="12"/>
        <v>13.6</v>
      </c>
      <c r="E145" s="12"/>
      <c r="F145" s="20"/>
      <c r="G145" s="114" t="s">
        <v>112</v>
      </c>
      <c r="H145" s="115"/>
      <c r="I145" s="119">
        <v>5.8</v>
      </c>
      <c r="J145" s="120">
        <v>0</v>
      </c>
      <c r="K145" s="23"/>
      <c r="L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25"/>
      <c r="B146" s="26"/>
      <c r="C146" s="26"/>
      <c r="D146" s="27"/>
      <c r="E146" s="12"/>
      <c r="F146" s="20"/>
      <c r="G146" s="96"/>
      <c r="H146" s="121"/>
      <c r="I146" s="122"/>
      <c r="J146" s="123"/>
      <c r="K146" s="23"/>
      <c r="L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142" t="s">
        <v>135</v>
      </c>
      <c r="B147" s="143"/>
      <c r="C147" s="143"/>
      <c r="D147" s="143"/>
      <c r="E147" s="12"/>
      <c r="F147" s="20"/>
      <c r="G147" s="96"/>
      <c r="H147" s="121"/>
      <c r="I147" s="122"/>
      <c r="J147" s="123"/>
      <c r="K147" s="23"/>
      <c r="L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142" t="s">
        <v>136</v>
      </c>
      <c r="B148" s="144">
        <v>5.4</v>
      </c>
      <c r="C148" s="145">
        <v>86.4</v>
      </c>
      <c r="D148" s="146">
        <f t="shared" ref="D148:D156" si="13">SUM(B148*C148)</f>
        <v>466.56000000000006</v>
      </c>
      <c r="E148" s="12"/>
      <c r="F148" s="20"/>
      <c r="G148" s="141"/>
      <c r="H148" s="121"/>
      <c r="I148" s="140"/>
      <c r="J148" s="99"/>
      <c r="K148" s="23"/>
      <c r="L148" s="2"/>
      <c r="M148" s="179" t="s">
        <v>137</v>
      </c>
      <c r="N148" s="176"/>
      <c r="O148" s="17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142" t="s">
        <v>138</v>
      </c>
      <c r="B149" s="144">
        <v>0</v>
      </c>
      <c r="C149" s="145">
        <v>104.4</v>
      </c>
      <c r="D149" s="146">
        <f t="shared" si="13"/>
        <v>0</v>
      </c>
      <c r="E149" s="12"/>
      <c r="F149" s="20"/>
      <c r="G149" s="125" t="s">
        <v>87</v>
      </c>
      <c r="H149" s="126"/>
      <c r="I149" s="127"/>
      <c r="J149" s="128"/>
      <c r="K149" s="23"/>
      <c r="L149" s="2"/>
      <c r="M149" s="147" t="s">
        <v>139</v>
      </c>
      <c r="N149" s="147" t="s">
        <v>9</v>
      </c>
      <c r="O149" s="147" t="s">
        <v>10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142" t="s">
        <v>140</v>
      </c>
      <c r="B150" s="144">
        <v>0</v>
      </c>
      <c r="C150" s="145">
        <v>100.8</v>
      </c>
      <c r="D150" s="146">
        <f t="shared" si="13"/>
        <v>0</v>
      </c>
      <c r="E150" s="12"/>
      <c r="F150" s="20"/>
      <c r="G150" s="125" t="s">
        <v>113</v>
      </c>
      <c r="H150" s="126"/>
      <c r="I150" s="130">
        <v>6.92</v>
      </c>
      <c r="J150" s="131">
        <v>0</v>
      </c>
      <c r="K150" s="23"/>
      <c r="L150" s="2"/>
      <c r="M150" s="147"/>
      <c r="N150" s="147"/>
      <c r="O150" s="147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142" t="s">
        <v>141</v>
      </c>
      <c r="B151" s="144">
        <v>1</v>
      </c>
      <c r="C151" s="145">
        <v>96</v>
      </c>
      <c r="D151" s="146">
        <f t="shared" si="13"/>
        <v>96</v>
      </c>
      <c r="E151" s="12"/>
      <c r="F151" s="20"/>
      <c r="G151" s="125" t="s">
        <v>114</v>
      </c>
      <c r="H151" s="126"/>
      <c r="I151" s="130">
        <v>7.21</v>
      </c>
      <c r="J151" s="131">
        <v>0</v>
      </c>
      <c r="K151" s="23"/>
      <c r="L151" s="2"/>
      <c r="M151" s="147" t="s">
        <v>142</v>
      </c>
      <c r="N151" s="148"/>
      <c r="O151" s="147">
        <f>SUM(284/36819)*N151</f>
        <v>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142" t="s">
        <v>143</v>
      </c>
      <c r="B152" s="144">
        <v>3</v>
      </c>
      <c r="C152" s="145">
        <v>132</v>
      </c>
      <c r="D152" s="146">
        <f t="shared" si="13"/>
        <v>396</v>
      </c>
      <c r="E152" s="12"/>
      <c r="F152" s="20"/>
      <c r="G152" s="125" t="s">
        <v>115</v>
      </c>
      <c r="H152" s="126"/>
      <c r="I152" s="130">
        <v>5.74</v>
      </c>
      <c r="J152" s="131">
        <v>0</v>
      </c>
      <c r="K152" s="23"/>
      <c r="L152" s="2"/>
      <c r="M152" s="147" t="s">
        <v>144</v>
      </c>
      <c r="N152" s="148"/>
      <c r="O152" s="147">
        <f>SUM(568/36819)*N152</f>
        <v>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142" t="s">
        <v>145</v>
      </c>
      <c r="B153" s="144">
        <v>1</v>
      </c>
      <c r="C153" s="145">
        <v>50</v>
      </c>
      <c r="D153" s="146">
        <f t="shared" si="13"/>
        <v>50</v>
      </c>
      <c r="E153" s="12"/>
      <c r="F153" s="20"/>
      <c r="G153" s="96"/>
      <c r="H153" s="121"/>
      <c r="I153" s="122"/>
      <c r="J153" s="123"/>
      <c r="K153" s="23"/>
      <c r="L153" s="2"/>
      <c r="M153" s="147" t="s">
        <v>146</v>
      </c>
      <c r="N153" s="148"/>
      <c r="O153" s="147">
        <f>SUM(1100/36819)*N153</f>
        <v>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142" t="s">
        <v>147</v>
      </c>
      <c r="B154" s="144">
        <v>0</v>
      </c>
      <c r="C154" s="145">
        <v>138</v>
      </c>
      <c r="D154" s="146">
        <f t="shared" si="13"/>
        <v>0</v>
      </c>
      <c r="E154" s="12"/>
      <c r="F154" s="20"/>
      <c r="G154" s="96"/>
      <c r="H154" s="121"/>
      <c r="I154" s="122"/>
      <c r="J154" s="123"/>
      <c r="K154" s="23"/>
      <c r="L154" s="2"/>
      <c r="M154" s="147"/>
      <c r="N154" s="147" t="s">
        <v>21</v>
      </c>
      <c r="O154" s="147">
        <f>SUM(O151+O152+O153)</f>
        <v>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149" t="s">
        <v>148</v>
      </c>
      <c r="B155" s="144">
        <v>2.1</v>
      </c>
      <c r="C155" s="145">
        <v>84</v>
      </c>
      <c r="D155" s="146">
        <f t="shared" si="13"/>
        <v>176.4</v>
      </c>
      <c r="E155" s="12"/>
      <c r="F155" s="20"/>
      <c r="G155" s="96"/>
      <c r="H155" s="121"/>
      <c r="I155" s="122"/>
      <c r="J155" s="123"/>
      <c r="K155" s="23"/>
      <c r="L155" s="2"/>
      <c r="M155" s="150"/>
      <c r="N155" s="150"/>
      <c r="O155" s="15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149" t="s">
        <v>149</v>
      </c>
      <c r="B156" s="144">
        <v>0</v>
      </c>
      <c r="C156" s="145">
        <v>54</v>
      </c>
      <c r="D156" s="146">
        <f t="shared" si="13"/>
        <v>0</v>
      </c>
      <c r="E156" s="12"/>
      <c r="F156" s="20"/>
      <c r="G156" s="21"/>
      <c r="H156" s="21"/>
      <c r="I156" s="22"/>
      <c r="J156" s="23"/>
      <c r="K156" s="23"/>
      <c r="L156" s="2"/>
      <c r="M156" s="150"/>
      <c r="N156" s="150"/>
      <c r="O156" s="15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25"/>
      <c r="B157" s="26"/>
      <c r="C157" s="26"/>
      <c r="D157" s="27"/>
      <c r="E157" s="12"/>
      <c r="F157" s="20"/>
      <c r="G157" s="21"/>
      <c r="H157" s="21"/>
      <c r="I157" s="22"/>
      <c r="J157" s="23"/>
      <c r="K157" s="23"/>
      <c r="L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151" t="s">
        <v>150</v>
      </c>
      <c r="B158" s="152"/>
      <c r="C158" s="152"/>
      <c r="D158" s="152"/>
      <c r="E158" s="12"/>
      <c r="F158" s="20"/>
      <c r="G158" s="21"/>
      <c r="H158" s="21"/>
      <c r="I158" s="22"/>
      <c r="J158" s="23"/>
      <c r="K158" s="2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151" t="s">
        <v>151</v>
      </c>
      <c r="B159" s="153">
        <v>0</v>
      </c>
      <c r="C159" s="154">
        <v>110</v>
      </c>
      <c r="D159" s="155">
        <f t="shared" ref="D159:D176" si="14">SUM(B159*C159)</f>
        <v>0</v>
      </c>
      <c r="E159" s="12"/>
      <c r="F159" s="20"/>
      <c r="G159" s="21"/>
      <c r="H159" s="21"/>
      <c r="I159" s="22"/>
      <c r="J159" s="23"/>
      <c r="K159" s="23"/>
      <c r="L159" s="2"/>
      <c r="M159" s="156" t="s">
        <v>139</v>
      </c>
      <c r="N159" s="156" t="s">
        <v>9</v>
      </c>
      <c r="O159" s="156" t="s">
        <v>10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157" t="s">
        <v>152</v>
      </c>
      <c r="B160" s="153">
        <v>2</v>
      </c>
      <c r="C160" s="154">
        <v>132</v>
      </c>
      <c r="D160" s="155">
        <f t="shared" si="14"/>
        <v>264</v>
      </c>
      <c r="E160" s="12"/>
      <c r="F160" s="20"/>
      <c r="G160" s="21"/>
      <c r="H160" s="21"/>
      <c r="I160" s="22"/>
      <c r="J160" s="23"/>
      <c r="K160" s="23"/>
      <c r="L160" s="2"/>
      <c r="M160" s="180" t="s">
        <v>153</v>
      </c>
      <c r="N160" s="176"/>
      <c r="O160" s="177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151" t="s">
        <v>154</v>
      </c>
      <c r="B161" s="153">
        <v>1.9</v>
      </c>
      <c r="C161" s="154">
        <v>124.8</v>
      </c>
      <c r="D161" s="155">
        <f t="shared" si="14"/>
        <v>237.11999999999998</v>
      </c>
      <c r="E161" s="12"/>
      <c r="F161" s="20"/>
      <c r="G161" s="21"/>
      <c r="H161" s="21"/>
      <c r="I161" s="22"/>
      <c r="J161" s="23"/>
      <c r="K161" s="23"/>
      <c r="L161" s="2"/>
      <c r="M161" s="158"/>
      <c r="N161" s="158"/>
      <c r="O161" s="158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151" t="s">
        <v>155</v>
      </c>
      <c r="B162" s="153">
        <v>0</v>
      </c>
      <c r="C162" s="154">
        <v>110</v>
      </c>
      <c r="D162" s="155">
        <f t="shared" si="14"/>
        <v>0</v>
      </c>
      <c r="E162" s="12"/>
      <c r="F162" s="20"/>
      <c r="G162" s="21"/>
      <c r="H162" s="21"/>
      <c r="I162" s="22"/>
      <c r="J162" s="23"/>
      <c r="K162" s="23"/>
      <c r="L162" s="2"/>
      <c r="M162" s="158"/>
      <c r="N162" s="158"/>
      <c r="O162" s="158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157" t="s">
        <v>156</v>
      </c>
      <c r="B163" s="153">
        <v>1.5</v>
      </c>
      <c r="C163" s="154">
        <v>125</v>
      </c>
      <c r="D163" s="155">
        <f t="shared" si="14"/>
        <v>187.5</v>
      </c>
      <c r="E163" s="12"/>
      <c r="F163" s="20"/>
      <c r="G163" s="21"/>
      <c r="H163" s="21"/>
      <c r="I163" s="22"/>
      <c r="J163" s="23"/>
      <c r="K163" s="23"/>
      <c r="L163" s="2"/>
      <c r="M163" s="156"/>
      <c r="N163" s="156" t="s">
        <v>21</v>
      </c>
      <c r="O163" s="156">
        <f>SUM(O168+O169+O164)</f>
        <v>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151" t="s">
        <v>157</v>
      </c>
      <c r="B164" s="153">
        <v>0</v>
      </c>
      <c r="C164" s="154">
        <v>150</v>
      </c>
      <c r="D164" s="155">
        <f t="shared" si="14"/>
        <v>0</v>
      </c>
      <c r="E164" s="12"/>
      <c r="F164" s="20"/>
      <c r="G164" s="21"/>
      <c r="H164" s="21"/>
      <c r="I164" s="22"/>
      <c r="J164" s="23"/>
      <c r="K164" s="23"/>
      <c r="L164" s="2"/>
      <c r="M164" s="156" t="s">
        <v>146</v>
      </c>
      <c r="N164" s="156"/>
      <c r="O164" s="156">
        <f>SUM(1100/27000)*N164</f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151" t="s">
        <v>158</v>
      </c>
      <c r="B165" s="153">
        <v>0</v>
      </c>
      <c r="C165" s="154">
        <v>138</v>
      </c>
      <c r="D165" s="155">
        <f t="shared" si="14"/>
        <v>0</v>
      </c>
      <c r="E165" s="12"/>
      <c r="F165" s="20"/>
      <c r="G165" s="21"/>
      <c r="H165" s="21"/>
      <c r="I165" s="22"/>
      <c r="J165" s="23"/>
      <c r="K165" s="23"/>
      <c r="L165" s="2"/>
      <c r="M165" s="156"/>
      <c r="N165" s="156"/>
      <c r="O165" s="15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151" t="s">
        <v>159</v>
      </c>
      <c r="B166" s="153">
        <v>2.6</v>
      </c>
      <c r="C166" s="154">
        <v>129.6</v>
      </c>
      <c r="D166" s="155">
        <f t="shared" si="14"/>
        <v>336.96</v>
      </c>
      <c r="E166" s="12"/>
      <c r="F166" s="20"/>
      <c r="G166" s="21"/>
      <c r="H166" s="21"/>
      <c r="I166" s="22"/>
      <c r="J166" s="23"/>
      <c r="K166" s="23"/>
      <c r="L166" s="2"/>
      <c r="M166" s="156"/>
      <c r="N166" s="156"/>
      <c r="O166" s="15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151" t="s">
        <v>160</v>
      </c>
      <c r="B167" s="153">
        <v>0.95</v>
      </c>
      <c r="C167" s="154">
        <v>89</v>
      </c>
      <c r="D167" s="155">
        <f t="shared" si="14"/>
        <v>84.55</v>
      </c>
      <c r="E167" s="12"/>
      <c r="F167" s="20"/>
      <c r="G167" s="21"/>
      <c r="H167" s="21"/>
      <c r="I167" s="22"/>
      <c r="J167" s="23"/>
      <c r="K167" s="23"/>
      <c r="L167" s="2"/>
      <c r="M167" s="156"/>
      <c r="N167" s="156"/>
      <c r="O167" s="15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151" t="s">
        <v>161</v>
      </c>
      <c r="B168" s="153">
        <v>1</v>
      </c>
      <c r="C168" s="154">
        <v>89</v>
      </c>
      <c r="D168" s="155">
        <f t="shared" si="14"/>
        <v>89</v>
      </c>
      <c r="E168" s="12"/>
      <c r="F168" s="20"/>
      <c r="G168" s="21"/>
      <c r="H168" s="21"/>
      <c r="I168" s="22"/>
      <c r="J168" s="23"/>
      <c r="K168" s="23"/>
      <c r="L168" s="2"/>
      <c r="M168" s="156" t="s">
        <v>142</v>
      </c>
      <c r="N168" s="156"/>
      <c r="O168" s="156">
        <f>SUM(284/27000)*N168</f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151" t="s">
        <v>162</v>
      </c>
      <c r="B169" s="153">
        <v>0</v>
      </c>
      <c r="C169" s="152">
        <v>174.5</v>
      </c>
      <c r="D169" s="155">
        <f t="shared" si="14"/>
        <v>0</v>
      </c>
      <c r="E169" s="12"/>
      <c r="F169" s="20"/>
      <c r="G169" s="21"/>
      <c r="H169" s="21"/>
      <c r="I169" s="22"/>
      <c r="J169" s="23"/>
      <c r="K169" s="23"/>
      <c r="L169" s="2"/>
      <c r="M169" s="156" t="s">
        <v>144</v>
      </c>
      <c r="N169" s="156"/>
      <c r="O169" s="156">
        <f>SUM(568/27000)*N169</f>
        <v>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151" t="s">
        <v>163</v>
      </c>
      <c r="B170" s="153">
        <v>2</v>
      </c>
      <c r="C170" s="152">
        <v>125</v>
      </c>
      <c r="D170" s="155">
        <f t="shared" si="14"/>
        <v>250</v>
      </c>
      <c r="E170" s="12"/>
      <c r="F170" s="20"/>
      <c r="G170" s="21"/>
      <c r="H170" s="21"/>
      <c r="I170" s="22"/>
      <c r="J170" s="23"/>
      <c r="K170" s="2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151" t="s">
        <v>164</v>
      </c>
      <c r="B171" s="153">
        <v>0</v>
      </c>
      <c r="C171" s="154">
        <v>138</v>
      </c>
      <c r="D171" s="155">
        <f t="shared" si="14"/>
        <v>0</v>
      </c>
      <c r="E171" s="12"/>
      <c r="F171" s="20"/>
      <c r="G171" s="21"/>
      <c r="H171" s="21"/>
      <c r="I171" s="22"/>
      <c r="J171" s="23"/>
      <c r="K171" s="2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151" t="s">
        <v>165</v>
      </c>
      <c r="B172" s="153">
        <v>0.3</v>
      </c>
      <c r="C172" s="154">
        <v>96</v>
      </c>
      <c r="D172" s="155">
        <f t="shared" si="14"/>
        <v>28.799999999999997</v>
      </c>
      <c r="E172" s="159"/>
      <c r="F172" s="20"/>
      <c r="G172" s="21"/>
      <c r="H172" s="21"/>
      <c r="I172" s="22"/>
      <c r="J172" s="23"/>
      <c r="K172" s="2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151" t="s">
        <v>166</v>
      </c>
      <c r="B173" s="153">
        <v>0</v>
      </c>
      <c r="C173" s="152">
        <v>140</v>
      </c>
      <c r="D173" s="155">
        <f t="shared" si="14"/>
        <v>0</v>
      </c>
      <c r="E173" s="159"/>
      <c r="F173" s="20"/>
      <c r="G173" s="21"/>
      <c r="H173" s="21"/>
      <c r="I173" s="22"/>
      <c r="J173" s="23"/>
      <c r="K173" s="2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151" t="s">
        <v>167</v>
      </c>
      <c r="B174" s="153">
        <v>0.9</v>
      </c>
      <c r="C174" s="152">
        <v>100</v>
      </c>
      <c r="D174" s="155">
        <f t="shared" si="14"/>
        <v>90</v>
      </c>
      <c r="E174" s="159"/>
      <c r="F174" s="20"/>
      <c r="G174" s="21"/>
      <c r="H174" s="21"/>
      <c r="I174" s="22"/>
      <c r="J174" s="23"/>
      <c r="K174" s="2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151" t="s">
        <v>168</v>
      </c>
      <c r="B175" s="153">
        <v>1.1000000000000001</v>
      </c>
      <c r="C175" s="154">
        <v>79</v>
      </c>
      <c r="D175" s="155">
        <f t="shared" si="14"/>
        <v>86.9</v>
      </c>
      <c r="E175" s="159"/>
      <c r="F175" s="20"/>
      <c r="G175" s="21"/>
      <c r="H175" s="21"/>
      <c r="I175" s="22"/>
      <c r="J175" s="23"/>
      <c r="K175" s="2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157" t="s">
        <v>169</v>
      </c>
      <c r="B176" s="153">
        <v>2</v>
      </c>
      <c r="C176" s="154">
        <v>0</v>
      </c>
      <c r="D176" s="155">
        <f t="shared" si="14"/>
        <v>0</v>
      </c>
      <c r="E176" s="159"/>
      <c r="F176" s="20"/>
      <c r="G176" s="21"/>
      <c r="H176" s="21"/>
      <c r="I176" s="22"/>
      <c r="J176" s="23"/>
      <c r="K176" s="2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5"/>
      <c r="B177" s="26"/>
      <c r="C177" s="26"/>
      <c r="D177" s="27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160" t="s">
        <v>170</v>
      </c>
      <c r="B178" s="161"/>
      <c r="C178" s="161"/>
      <c r="D178" s="16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160" t="s">
        <v>171</v>
      </c>
      <c r="B179" s="162">
        <v>1.2</v>
      </c>
      <c r="C179" s="163">
        <v>59.5</v>
      </c>
      <c r="D179" s="164">
        <f t="shared" ref="D179:D182" si="15">SUM(B179*C179)</f>
        <v>71.399999999999991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160" t="s">
        <v>172</v>
      </c>
      <c r="B180" s="162">
        <v>1.3</v>
      </c>
      <c r="C180" s="163">
        <v>59.5</v>
      </c>
      <c r="D180" s="164">
        <f t="shared" si="15"/>
        <v>77.350000000000009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160" t="s">
        <v>173</v>
      </c>
      <c r="B181" s="162">
        <v>1.7</v>
      </c>
      <c r="C181" s="163">
        <v>59.5</v>
      </c>
      <c r="D181" s="164">
        <f t="shared" si="15"/>
        <v>101.14999999999999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160" t="s">
        <v>174</v>
      </c>
      <c r="B182" s="162">
        <v>2</v>
      </c>
      <c r="C182" s="163">
        <v>59.5</v>
      </c>
      <c r="D182" s="164">
        <f t="shared" si="15"/>
        <v>119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165"/>
      <c r="C183" s="165"/>
      <c r="D183" s="2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166" t="s">
        <v>175</v>
      </c>
      <c r="B184" s="167"/>
      <c r="C184" s="167"/>
      <c r="D184" s="16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168" t="s">
        <v>176</v>
      </c>
      <c r="B185" s="169">
        <v>13</v>
      </c>
      <c r="C185" s="169">
        <v>0.4</v>
      </c>
      <c r="D185" s="170">
        <f t="shared" ref="D185:D190" si="16">SUM(B185*C185)</f>
        <v>5.2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168" t="s">
        <v>177</v>
      </c>
      <c r="B186" s="169">
        <v>30</v>
      </c>
      <c r="C186" s="169">
        <v>0.4</v>
      </c>
      <c r="D186" s="170">
        <f t="shared" si="16"/>
        <v>12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168" t="s">
        <v>178</v>
      </c>
      <c r="B187" s="169">
        <v>0</v>
      </c>
      <c r="C187" s="169">
        <v>0.45</v>
      </c>
      <c r="D187" s="170">
        <f t="shared" si="16"/>
        <v>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168" t="s">
        <v>179</v>
      </c>
      <c r="B188" s="169">
        <v>15</v>
      </c>
      <c r="C188" s="169">
        <v>0.45</v>
      </c>
      <c r="D188" s="170">
        <f t="shared" si="16"/>
        <v>6.75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168" t="s">
        <v>180</v>
      </c>
      <c r="B189" s="169">
        <v>20</v>
      </c>
      <c r="C189" s="169">
        <v>0.45</v>
      </c>
      <c r="D189" s="170">
        <f t="shared" si="16"/>
        <v>9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171" t="s">
        <v>181</v>
      </c>
      <c r="B190" s="172">
        <v>5</v>
      </c>
      <c r="C190" s="173">
        <f>12.95/12</f>
        <v>1.0791666666666666</v>
      </c>
      <c r="D190" s="170">
        <f t="shared" si="16"/>
        <v>5.395833333333333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 t="s">
        <v>182</v>
      </c>
      <c r="B192" s="2"/>
      <c r="C192" s="2"/>
      <c r="D192" s="174">
        <f>SUM(D6:D190)</f>
        <v>6151.6698333333325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/>
    <row r="392" spans="1:27" ht="15.75" customHeight="1" x14ac:dyDescent="0.2"/>
    <row r="393" spans="1:27" ht="15.75" customHeight="1" x14ac:dyDescent="0.2"/>
    <row r="394" spans="1:27" ht="15.75" customHeight="1" x14ac:dyDescent="0.2"/>
    <row r="395" spans="1:27" ht="15.75" customHeight="1" x14ac:dyDescent="0.2"/>
    <row r="396" spans="1:27" ht="15.75" customHeight="1" x14ac:dyDescent="0.2"/>
    <row r="397" spans="1:27" ht="15.75" customHeight="1" x14ac:dyDescent="0.2"/>
    <row r="398" spans="1:27" ht="15.75" customHeight="1" x14ac:dyDescent="0.2"/>
    <row r="399" spans="1:27" ht="15.75" customHeight="1" x14ac:dyDescent="0.2"/>
    <row r="400" spans="1:27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</sheetData>
  <mergeCells count="4">
    <mergeCell ref="M4:O4"/>
    <mergeCell ref="M76:O76"/>
    <mergeCell ref="M148:O148"/>
    <mergeCell ref="M160:O16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dcterms:created xsi:type="dcterms:W3CDTF">2026-03-02T08:59:25Z</dcterms:created>
  <dcterms:modified xsi:type="dcterms:W3CDTF">2026-03-02T08:59:25Z</dcterms:modified>
</cp:coreProperties>
</file>