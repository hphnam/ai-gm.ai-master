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ful\Desktop\"/>
    </mc:Choice>
  </mc:AlternateContent>
  <xr:revisionPtr revIDLastSave="0" documentId="13_ncr:1_{CA732EAD-E71C-4F5F-9B2B-C495E23F7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BgPAVqZUmhxVNi3VmWfKQIt6hevip1HptgDoRcLeLg="/>
    </ext>
  </extLst>
</workbook>
</file>

<file path=xl/calcChain.xml><?xml version="1.0" encoding="utf-8"?>
<calcChain xmlns="http://schemas.openxmlformats.org/spreadsheetml/2006/main">
  <c r="C169" i="1" l="1"/>
  <c r="D169" i="1" s="1"/>
  <c r="D167" i="1"/>
  <c r="C164" i="1"/>
  <c r="C159" i="1"/>
  <c r="C156" i="1"/>
  <c r="C154" i="1"/>
  <c r="D154" i="1" s="1"/>
  <c r="C153" i="1"/>
  <c r="C152" i="1"/>
  <c r="C149" i="1"/>
  <c r="C148" i="1"/>
  <c r="C147" i="1"/>
  <c r="D147" i="1" s="1"/>
  <c r="C145" i="1"/>
  <c r="C144" i="1"/>
  <c r="C143" i="1"/>
  <c r="C142" i="1"/>
  <c r="D142" i="1" s="1"/>
  <c r="C141" i="1"/>
  <c r="D141" i="1" s="1"/>
  <c r="D22" i="1"/>
  <c r="C138" i="1"/>
  <c r="D138" i="1" s="1"/>
  <c r="C134" i="1"/>
  <c r="C135" i="1"/>
  <c r="D135" i="1" s="1"/>
  <c r="C137" i="1"/>
  <c r="D137" i="1" s="1"/>
  <c r="D134" i="1"/>
  <c r="D136" i="1"/>
  <c r="D105" i="1"/>
  <c r="D106" i="1"/>
  <c r="D107" i="1"/>
  <c r="D96" i="1"/>
  <c r="D97" i="1"/>
  <c r="D98" i="1"/>
  <c r="D90" i="1"/>
  <c r="D91" i="1"/>
  <c r="D82" i="1"/>
  <c r="D83" i="1"/>
  <c r="D84" i="1"/>
  <c r="D153" i="1"/>
  <c r="D155" i="1"/>
  <c r="D156" i="1"/>
  <c r="D55" i="1"/>
  <c r="D37" i="1"/>
  <c r="D20" i="1"/>
  <c r="C183" i="1"/>
  <c r="D183" i="1" s="1"/>
  <c r="D182" i="1"/>
  <c r="D181" i="1"/>
  <c r="D180" i="1"/>
  <c r="D179" i="1"/>
  <c r="D178" i="1"/>
  <c r="D175" i="1"/>
  <c r="D174" i="1"/>
  <c r="D173" i="1"/>
  <c r="D172" i="1"/>
  <c r="D168" i="1"/>
  <c r="D166" i="1"/>
  <c r="D165" i="1"/>
  <c r="D164" i="1"/>
  <c r="D163" i="1"/>
  <c r="O162" i="1"/>
  <c r="D162" i="1"/>
  <c r="O161" i="1"/>
  <c r="D161" i="1"/>
  <c r="D160" i="1"/>
  <c r="D159" i="1"/>
  <c r="D158" i="1"/>
  <c r="O157" i="1"/>
  <c r="D157" i="1"/>
  <c r="D152" i="1"/>
  <c r="D149" i="1"/>
  <c r="D148" i="1"/>
  <c r="O146" i="1"/>
  <c r="D146" i="1"/>
  <c r="O145" i="1"/>
  <c r="D145" i="1"/>
  <c r="O144" i="1"/>
  <c r="D144" i="1"/>
  <c r="D143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17" i="1"/>
  <c r="D116" i="1"/>
  <c r="D115" i="1"/>
  <c r="D114" i="1"/>
  <c r="D113" i="1"/>
  <c r="D112" i="1"/>
  <c r="D111" i="1"/>
  <c r="D110" i="1"/>
  <c r="D109" i="1"/>
  <c r="D108" i="1"/>
  <c r="D104" i="1"/>
  <c r="O102" i="1"/>
  <c r="D101" i="1"/>
  <c r="D100" i="1"/>
  <c r="D99" i="1"/>
  <c r="D93" i="1"/>
  <c r="D92" i="1"/>
  <c r="D87" i="1"/>
  <c r="D86" i="1"/>
  <c r="D85" i="1"/>
  <c r="O81" i="1"/>
  <c r="O85" i="1" s="1"/>
  <c r="D79" i="1"/>
  <c r="D78" i="1"/>
  <c r="D77" i="1"/>
  <c r="D76" i="1"/>
  <c r="D72" i="1"/>
  <c r="D71" i="1"/>
  <c r="D70" i="1"/>
  <c r="D67" i="1"/>
  <c r="D66" i="1"/>
  <c r="D65" i="1"/>
  <c r="D64" i="1"/>
  <c r="D63" i="1"/>
  <c r="D62" i="1"/>
  <c r="D61" i="1"/>
  <c r="D60" i="1"/>
  <c r="D59" i="1"/>
  <c r="D58" i="1"/>
  <c r="D57" i="1"/>
  <c r="D56" i="1"/>
  <c r="D54" i="1"/>
  <c r="D53" i="1"/>
  <c r="D52" i="1"/>
  <c r="D51" i="1"/>
  <c r="D48" i="1"/>
  <c r="D47" i="1"/>
  <c r="D46" i="1"/>
  <c r="D45" i="1"/>
  <c r="D44" i="1"/>
  <c r="D43" i="1"/>
  <c r="D42" i="1"/>
  <c r="D41" i="1"/>
  <c r="D40" i="1"/>
  <c r="D39" i="1"/>
  <c r="D38" i="1"/>
  <c r="D36" i="1"/>
  <c r="D35" i="1"/>
  <c r="D34" i="1"/>
  <c r="D33" i="1"/>
  <c r="D31" i="1"/>
  <c r="D30" i="1"/>
  <c r="D29" i="1"/>
  <c r="D28" i="1"/>
  <c r="D27" i="1"/>
  <c r="D26" i="1"/>
  <c r="D25" i="1"/>
  <c r="D23" i="1"/>
  <c r="D21" i="1"/>
  <c r="D19" i="1"/>
  <c r="D18" i="1"/>
  <c r="D17" i="1"/>
  <c r="D16" i="1"/>
  <c r="D15" i="1"/>
  <c r="D13" i="1"/>
  <c r="D12" i="1"/>
  <c r="O11" i="1"/>
  <c r="D11" i="1"/>
  <c r="D10" i="1"/>
  <c r="D9" i="1"/>
  <c r="D8" i="1"/>
  <c r="D7" i="1"/>
  <c r="O6" i="1"/>
  <c r="D6" i="1"/>
  <c r="O156" i="1" l="1"/>
  <c r="O14" i="1"/>
  <c r="O147" i="1"/>
  <c r="D185" i="1"/>
</calcChain>
</file>

<file path=xl/sharedStrings.xml><?xml version="1.0" encoding="utf-8"?>
<sst xmlns="http://schemas.openxmlformats.org/spreadsheetml/2006/main" count="199" uniqueCount="185">
  <si>
    <t xml:space="preserve">Product </t>
  </si>
  <si>
    <t xml:space="preserve">Quanitiy </t>
  </si>
  <si>
    <t>Price</t>
  </si>
  <si>
    <t>Total on hand</t>
  </si>
  <si>
    <t>Spirits</t>
  </si>
  <si>
    <t>Spirits Amount Calculator</t>
  </si>
  <si>
    <t>Vodka</t>
  </si>
  <si>
    <t>Servings</t>
  </si>
  <si>
    <t>Sold This Week</t>
  </si>
  <si>
    <t>Amount Per Week</t>
  </si>
  <si>
    <t>Ciroc Original 70cl</t>
  </si>
  <si>
    <t>25ml - Single</t>
  </si>
  <si>
    <t>Ciroc Mango 70cl</t>
  </si>
  <si>
    <t>Ciroc Apple 70cl</t>
  </si>
  <si>
    <t>Ciroc Summer Citrus 70cl</t>
  </si>
  <si>
    <t>Absolut  Raspberry 70cl</t>
  </si>
  <si>
    <t>Checkov Cheap Ass Vodka 1.5ltr</t>
  </si>
  <si>
    <t>50ml - Double</t>
  </si>
  <si>
    <t>3 Wheel Vodka</t>
  </si>
  <si>
    <t>Smirnoff Red 70cl</t>
  </si>
  <si>
    <t>Total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</si>
  <si>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</si>
  <si>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</si>
  <si>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</si>
  <si>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</si>
  <si>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</si>
  <si>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</si>
  <si>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</si>
  <si>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</si>
  <si>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</si>
  <si>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</si>
  <si>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</si>
  <si>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</si>
  <si>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</si>
  <si>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</si>
  <si>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</si>
  <si>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</si>
  <si>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</si>
  <si>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</si>
  <si>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</si>
  <si>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</si>
  <si>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</si>
  <si>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</si>
  <si>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</si>
  <si>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</si>
  <si>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</si>
  <si>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</si>
  <si>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</si>
  <si>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</si>
  <si>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</si>
  <si>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</si>
  <si>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</si>
  <si>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</si>
  <si>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</si>
  <si>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</si>
  <si>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Jagermeister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</si>
  <si>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</si>
  <si>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</si>
  <si>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</si>
  <si>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</si>
  <si>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</si>
  <si>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</si>
  <si>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</si>
  <si>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</si>
  <si>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</si>
  <si>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</si>
  <si>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</si>
  <si>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</si>
  <si>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</si>
  <si>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</si>
  <si>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</si>
  <si>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</si>
  <si>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Muddy Boots Shiraz x 75cl</t>
  </si>
  <si>
    <t>Chilnero Merlot x 75cl</t>
  </si>
  <si>
    <t>Wine Amount Calculator</t>
  </si>
  <si>
    <t>White</t>
  </si>
  <si>
    <t>175ml - Medium</t>
  </si>
  <si>
    <t>South Island Sauvignon Blanc x 75cl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</si>
  <si>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</si>
  <si>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</si>
  <si>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</si>
  <si>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</si>
  <si>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</si>
  <si>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</si>
  <si>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</si>
  <si>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Cantina Garda Prosecco (Rose) x 75cl</t>
  </si>
  <si>
    <t>Cantina Garda Spumante x 75cl</t>
  </si>
  <si>
    <t>125ml - Glass</t>
  </si>
  <si>
    <t>Soft Drinks/Mixers-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</si>
  <si>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</si>
  <si>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</si>
  <si>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</si>
  <si>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</si>
  <si>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</si>
  <si>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</si>
  <si>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</si>
  <si>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</si>
  <si>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</si>
  <si>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</si>
  <si>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</si>
  <si>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</si>
  <si>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</si>
  <si>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</si>
  <si>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</si>
  <si>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</si>
  <si>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</si>
  <si>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</si>
  <si>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Alc Free (330ml can)</t>
  </si>
  <si>
    <t>LUNEBREW CANS  (440ml Can)</t>
  </si>
  <si>
    <t>Corona Bottles 330ml</t>
  </si>
  <si>
    <t>Vodka Cans TREAT DAY</t>
  </si>
  <si>
    <t>Ascension Pilot can</t>
  </si>
  <si>
    <t>Ascension Wrath Can</t>
  </si>
  <si>
    <t>Ascension Shimmy Can</t>
  </si>
  <si>
    <t>Cask-</t>
  </si>
  <si>
    <t>Lunebrew: Lune Valley Gold</t>
  </si>
  <si>
    <t>Cask Calculator</t>
  </si>
  <si>
    <t>LuneBrew: Pale Ale</t>
  </si>
  <si>
    <t>Serving</t>
  </si>
  <si>
    <t>LuneBrew: Bitter</t>
  </si>
  <si>
    <t>Half</t>
  </si>
  <si>
    <t>Pint</t>
  </si>
  <si>
    <t>Guest</t>
  </si>
  <si>
    <t>Stein</t>
  </si>
  <si>
    <t>LuneBrew: Stout 8 Malt</t>
  </si>
  <si>
    <t>LuneBrew: Centennial Summer</t>
  </si>
  <si>
    <t>Draught-</t>
  </si>
  <si>
    <t>Lunebrew: Session IPA</t>
  </si>
  <si>
    <t>Keg Calculator</t>
  </si>
  <si>
    <t>Lunebrew:Pale (30ltr)</t>
  </si>
  <si>
    <t>Lunebrew/Guest (30ltr)</t>
  </si>
  <si>
    <t>Apple Cider 50ltr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</si>
  <si>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</si>
  <si>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</si>
  <si>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</si>
  <si>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</si>
  <si>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</si>
  <si>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</si>
  <si>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</si>
  <si>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</si>
  <si>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</si>
  <si>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</si>
  <si>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UTILJE juicy Lucy/bird of prey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</si>
  <si>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</si>
  <si>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</si>
  <si>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</si>
  <si>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</si>
  <si>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</si>
  <si>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</si>
  <si>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</si>
  <si>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</si>
  <si>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</si>
  <si>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</si>
  <si>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</si>
  <si>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</si>
  <si>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</si>
  <si>
    <t>Aperol</t>
  </si>
  <si>
    <t>Montanya Rum</t>
  </si>
  <si>
    <t>Fireball Liqour</t>
  </si>
  <si>
    <t>Stock: 01.10.2025 (current amount of stock)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</si>
  <si>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</si>
  <si>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</si>
  <si>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</si>
  <si>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</si>
  <si>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</si>
  <si>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Casa De Flores Merlot</t>
  </si>
  <si>
    <t>Finca La Colonia Malbec</t>
  </si>
  <si>
    <t xml:space="preserve">Serena 1881 Prosecco </t>
  </si>
  <si>
    <t>Serena 1881 Rose Prosecco</t>
  </si>
  <si>
    <t>Serena 1881 Spumante</t>
  </si>
  <si>
    <t>Kulana Apple Juice</t>
  </si>
  <si>
    <t>Kulana Cranberry Juice - x 1ltr</t>
  </si>
  <si>
    <t>Kulana Orange Juice - x 1ltr</t>
  </si>
  <si>
    <t>Baby Iris A/F Neipa 440ml</t>
  </si>
  <si>
    <t>Lowkey Pale A/F 440ml</t>
  </si>
  <si>
    <t>Vandestreek A/F IPA 330ml</t>
  </si>
  <si>
    <t>Vandestreek A/F Neipa 330ml</t>
  </si>
  <si>
    <t xml:space="preserve">Drop Bear A/F Lager 330ml </t>
  </si>
  <si>
    <t>LuneBrew: Session IPA</t>
  </si>
  <si>
    <t>Lunebrew Mango Madness</t>
  </si>
  <si>
    <t>Diablese Rum - 70cl</t>
  </si>
  <si>
    <t>LuneBrew: Swoop</t>
  </si>
  <si>
    <t>Lunebrew: Mango Madness (30ltr)</t>
  </si>
  <si>
    <t>LuneBrew: Sleeping Elephants</t>
  </si>
  <si>
    <t>LuneBrew: Swoop (30ltr)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</si>
</sst>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"/>
    <numFmt numFmtId="167" formatCode="[$£-809]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b/>
      <u/>
      <sz val="10"/>
      <color theme="1"/>
      <name val="Arial"/>
    </font>
    <font>
      <sz val="10"/>
      <name val="Arial"/>
    </font>
    <font>
      <sz val="11"/>
      <color theme="1"/>
      <name val="Arial"/>
    </font>
    <font>
      <sz val="10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4" xfId="0" applyFont="1" applyFill="1" applyBorder="1" applyAlignment="1"/>
    <xf numFmtId="0" fontId="2" fillId="3" borderId="3" xfId="0" applyFont="1" applyFill="1" applyBorder="1" applyAlignment="1"/>
    <xf numFmtId="0" fontId="2" fillId="0" borderId="0" xfId="0" applyFont="1"/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1" fillId="4" borderId="1" xfId="0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/>
    <xf numFmtId="0" fontId="2" fillId="5" borderId="8" xfId="0" applyFont="1" applyFill="1" applyBorder="1" applyAlignment="1">
      <alignment horizontal="right"/>
    </xf>
    <xf numFmtId="0" fontId="2" fillId="0" borderId="1" xfId="0" applyFont="1" applyBorder="1" applyAlignment="1"/>
    <xf numFmtId="2" fontId="2" fillId="0" borderId="1" xfId="0" applyNumberFormat="1" applyFont="1" applyBorder="1" applyAlignment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 applyAlignment="1"/>
    <xf numFmtId="2" fontId="2" fillId="6" borderId="1" xfId="0" applyNumberFormat="1" applyFont="1" applyFill="1" applyBorder="1" applyAlignment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2" fontId="2" fillId="7" borderId="1" xfId="0" applyNumberFormat="1" applyFont="1" applyFill="1" applyBorder="1" applyAlignment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2" fontId="2" fillId="8" borderId="1" xfId="0" applyNumberFormat="1" applyFont="1" applyFill="1" applyBorder="1" applyAlignment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2" fontId="2" fillId="9" borderId="1" xfId="0" applyNumberFormat="1" applyFont="1" applyFill="1" applyBorder="1" applyAlignment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0" borderId="1" xfId="0" applyFont="1" applyBorder="1" applyAlignment="1"/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2" fontId="2" fillId="0" borderId="1" xfId="0" applyNumberFormat="1" applyFont="1" applyBorder="1" applyAlignment="1">
      <alignment horizontal="right"/>
    </xf>
    <xf numFmtId="0" fontId="2" fillId="12" borderId="1" xfId="0" applyFont="1" applyFill="1" applyBorder="1" applyAlignment="1"/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>
      <alignment horizontal="right"/>
    </xf>
    <xf numFmtId="2" fontId="2" fillId="13" borderId="4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0" fontId="2" fillId="12" borderId="0" xfId="0" applyFont="1" applyFill="1" applyAlignment="1"/>
    <xf numFmtId="0" fontId="1" fillId="12" borderId="1" xfId="0" applyFont="1" applyFill="1" applyBorder="1" applyAlignment="1"/>
    <xf numFmtId="2" fontId="2" fillId="12" borderId="1" xfId="0" applyNumberFormat="1" applyFont="1" applyFill="1" applyBorder="1" applyAlignment="1">
      <alignment horizontal="right"/>
    </xf>
    <xf numFmtId="2" fontId="2" fillId="12" borderId="4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/>
    <xf numFmtId="2" fontId="2" fillId="14" borderId="1" xfId="0" applyNumberFormat="1" applyFont="1" applyFill="1" applyBorder="1" applyAlignment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 applyAlignment="1"/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/>
    <xf numFmtId="2" fontId="2" fillId="16" borderId="4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166" fontId="2" fillId="0" borderId="0" xfId="0" applyNumberFormat="1" applyFont="1" applyAlignment="1"/>
    <xf numFmtId="0" fontId="1" fillId="16" borderId="1" xfId="0" applyFont="1" applyFill="1" applyBorder="1" applyAlignment="1"/>
    <xf numFmtId="0" fontId="1" fillId="17" borderId="1" xfId="0" applyFont="1" applyFill="1" applyBorder="1" applyAlignment="1"/>
    <xf numFmtId="2" fontId="2" fillId="17" borderId="1" xfId="0" applyNumberFormat="1" applyFont="1" applyFill="1" applyBorder="1" applyAlignment="1"/>
    <xf numFmtId="2" fontId="2" fillId="17" borderId="4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0" fontId="1" fillId="17" borderId="1" xfId="0" applyFont="1" applyFill="1" applyBorder="1" applyAlignment="1"/>
    <xf numFmtId="0" fontId="1" fillId="18" borderId="1" xfId="0" applyFont="1" applyFill="1" applyBorder="1" applyAlignment="1"/>
    <xf numFmtId="2" fontId="2" fillId="18" borderId="1" xfId="0" applyNumberFormat="1" applyFont="1" applyFill="1" applyBorder="1" applyAlignment="1"/>
    <xf numFmtId="2" fontId="2" fillId="18" borderId="1" xfId="0" applyNumberFormat="1" applyFont="1" applyFill="1" applyBorder="1" applyAlignment="1">
      <alignment horizontal="right"/>
    </xf>
    <xf numFmtId="2" fontId="2" fillId="18" borderId="1" xfId="0" applyNumberFormat="1" applyFont="1" applyFill="1" applyBorder="1" applyAlignment="1"/>
    <xf numFmtId="2" fontId="2" fillId="18" borderId="4" xfId="0" applyNumberFormat="1" applyFont="1" applyFill="1" applyBorder="1" applyAlignment="1">
      <alignment horizontal="right"/>
    </xf>
    <xf numFmtId="0" fontId="2" fillId="19" borderId="1" xfId="0" applyFont="1" applyFill="1" applyBorder="1" applyAlignment="1"/>
    <xf numFmtId="0" fontId="6" fillId="19" borderId="1" xfId="0" applyFont="1" applyFill="1" applyBorder="1" applyAlignment="1"/>
    <xf numFmtId="0" fontId="1" fillId="18" borderId="1" xfId="0" applyFont="1" applyFill="1" applyBorder="1" applyAlignment="1"/>
    <xf numFmtId="0" fontId="2" fillId="19" borderId="0" xfId="0" applyFont="1" applyFill="1" applyAlignment="1"/>
    <xf numFmtId="0" fontId="1" fillId="20" borderId="1" xfId="0" applyFont="1" applyFill="1" applyBorder="1" applyAlignment="1"/>
    <xf numFmtId="2" fontId="2" fillId="20" borderId="1" xfId="0" applyNumberFormat="1" applyFont="1" applyFill="1" applyBorder="1" applyAlignment="1"/>
    <xf numFmtId="2" fontId="2" fillId="20" borderId="1" xfId="0" applyNumberFormat="1" applyFont="1" applyFill="1" applyBorder="1" applyAlignment="1">
      <alignment horizontal="right"/>
    </xf>
    <xf numFmtId="2" fontId="2" fillId="20" borderId="1" xfId="0" applyNumberFormat="1" applyFont="1" applyFill="1" applyBorder="1" applyAlignment="1"/>
    <xf numFmtId="2" fontId="2" fillId="20" borderId="4" xfId="0" applyNumberFormat="1" applyFont="1" applyFill="1" applyBorder="1" applyAlignment="1">
      <alignment horizontal="right"/>
    </xf>
    <xf numFmtId="0" fontId="2" fillId="20" borderId="1" xfId="0" applyFont="1" applyFill="1" applyBorder="1" applyAlignment="1"/>
    <xf numFmtId="0" fontId="2" fillId="20" borderId="1" xfId="0" applyFont="1" applyFill="1" applyBorder="1" applyAlignment="1">
      <alignment horizontal="center"/>
    </xf>
    <xf numFmtId="0" fontId="2" fillId="3" borderId="0" xfId="0" applyFont="1" applyFill="1" applyAlignment="1"/>
    <xf numFmtId="0" fontId="1" fillId="20" borderId="1" xfId="0" applyFont="1" applyFill="1" applyBorder="1" applyAlignment="1"/>
    <xf numFmtId="0" fontId="1" fillId="21" borderId="1" xfId="0" applyFont="1" applyFill="1" applyBorder="1" applyAlignment="1"/>
    <xf numFmtId="2" fontId="2" fillId="21" borderId="1" xfId="0" applyNumberFormat="1" applyFont="1" applyFill="1" applyBorder="1" applyAlignment="1"/>
    <xf numFmtId="2" fontId="2" fillId="21" borderId="1" xfId="0" applyNumberFormat="1" applyFont="1" applyFill="1" applyBorder="1" applyAlignment="1">
      <alignment horizontal="right"/>
    </xf>
    <xf numFmtId="2" fontId="2" fillId="21" borderId="4" xfId="0" applyNumberFormat="1" applyFont="1" applyFill="1" applyBorder="1" applyAlignment="1">
      <alignment horizontal="right"/>
    </xf>
    <xf numFmtId="2" fontId="2" fillId="0" borderId="0" xfId="0" applyNumberFormat="1" applyFont="1" applyAlignment="1"/>
    <xf numFmtId="0" fontId="2" fillId="22" borderId="8" xfId="0" applyFont="1" applyFill="1" applyBorder="1" applyAlignment="1"/>
    <xf numFmtId="2" fontId="2" fillId="22" borderId="7" xfId="0" applyNumberFormat="1" applyFont="1" applyFill="1" applyBorder="1" applyAlignment="1"/>
    <xf numFmtId="0" fontId="2" fillId="22" borderId="6" xfId="0" applyFont="1" applyFill="1" applyBorder="1" applyAlignment="1"/>
    <xf numFmtId="2" fontId="2" fillId="22" borderId="1" xfId="0" applyNumberFormat="1" applyFont="1" applyFill="1" applyBorder="1" applyAlignment="1"/>
    <xf numFmtId="2" fontId="2" fillId="22" borderId="4" xfId="0" applyNumberFormat="1" applyFont="1" applyFill="1" applyBorder="1" applyAlignment="1">
      <alignment horizontal="right"/>
    </xf>
    <xf numFmtId="0" fontId="7" fillId="22" borderId="9" xfId="0" applyFont="1" applyFill="1" applyBorder="1" applyAlignment="1">
      <alignment horizontal="left"/>
    </xf>
    <xf numFmtId="2" fontId="2" fillId="22" borderId="10" xfId="0" applyNumberFormat="1" applyFont="1" applyFill="1" applyBorder="1" applyAlignment="1"/>
    <xf numFmtId="2" fontId="2" fillId="22" borderId="10" xfId="0" applyNumberFormat="1" applyFont="1" applyFill="1" applyBorder="1" applyAlignment="1"/>
    <xf numFmtId="167" fontId="2" fillId="5" borderId="0" xfId="0" applyNumberFormat="1" applyFont="1" applyFill="1" applyAlignment="1"/>
    <xf numFmtId="0" fontId="2" fillId="5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12" borderId="4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19"/>
  <sheetViews>
    <sheetView tabSelected="1" topLeftCell="A58" workbookViewId="0">
      <selection activeCell="B68" sqref="B68"/>
    </sheetView>
  </sheetViews>
  <sheetFormatPr defaultColWidth="12.5703125" defaultRowHeight="15" customHeight="1" x14ac:dyDescent="0.2"/>
  <cols>
    <col min="1" max="1" width="42.5703125" customWidth="1"/>
    <col min="2" max="4" width="12.5703125" customWidth="1"/>
    <col min="5" max="5" width="10.85546875" customWidth="1"/>
    <col min="6" max="6" width="18.85546875" customWidth="1"/>
    <col min="9" max="9" width="11.85546875" customWidth="1"/>
    <col min="10" max="10" width="15.140625" customWidth="1"/>
    <col min="11" max="12" width="12.5703125" customWidth="1"/>
    <col min="13" max="13" width="14.42578125" customWidth="1"/>
    <col min="15" max="15" width="14.7109375" customWidth="1"/>
  </cols>
  <sheetData>
    <row r="1" spans="1:27" ht="15.75" customHeight="1" x14ac:dyDescent="0.2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3" t="s">
        <v>0</v>
      </c>
      <c r="B3" s="3" t="s">
        <v>1</v>
      </c>
      <c r="C3" s="3" t="s">
        <v>2</v>
      </c>
      <c r="D3" s="4" t="s">
        <v>3</v>
      </c>
      <c r="E3" s="5"/>
      <c r="F3" s="6"/>
      <c r="G3" s="6"/>
      <c r="H3" s="6"/>
      <c r="I3" s="6"/>
      <c r="J3" s="7"/>
      <c r="K3" s="7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7" ht="15.75" customHeight="1" x14ac:dyDescent="0.2">
      <c r="A4" s="9" t="s">
        <v>4</v>
      </c>
      <c r="B4" s="10"/>
      <c r="C4" s="10"/>
      <c r="D4" s="11"/>
      <c r="E4" s="12"/>
      <c r="F4" s="2"/>
      <c r="G4" s="13"/>
      <c r="H4" s="13"/>
      <c r="I4" s="13"/>
      <c r="J4" s="2"/>
      <c r="K4" s="2"/>
      <c r="L4" s="2"/>
      <c r="M4" s="129" t="s">
        <v>5</v>
      </c>
      <c r="N4" s="130"/>
      <c r="O4" s="131"/>
      <c r="P4" s="2"/>
      <c r="Q4" s="2"/>
      <c r="R4" s="2"/>
      <c r="S4" s="2"/>
      <c r="T4" s="2"/>
      <c r="U4" s="2"/>
      <c r="V4" s="2"/>
      <c r="W4" s="2"/>
      <c r="X4" s="2"/>
    </row>
    <row r="5" spans="1:27" ht="15.75" customHeight="1" x14ac:dyDescent="0.2">
      <c r="A5" s="9" t="s">
        <v>6</v>
      </c>
      <c r="B5" s="10"/>
      <c r="C5" s="10"/>
      <c r="D5" s="11"/>
      <c r="E5" s="12"/>
      <c r="F5" s="2"/>
      <c r="G5" s="13"/>
      <c r="H5" s="13"/>
      <c r="I5" s="13"/>
      <c r="J5" s="2"/>
      <c r="K5" s="2"/>
      <c r="L5" s="2"/>
      <c r="M5" s="14" t="s">
        <v>7</v>
      </c>
      <c r="N5" s="15" t="s">
        <v>8</v>
      </c>
      <c r="O5" s="15" t="s">
        <v>9</v>
      </c>
      <c r="P5" s="2"/>
      <c r="Q5" s="2"/>
      <c r="R5" s="2"/>
      <c r="S5" s="2"/>
      <c r="T5" s="2"/>
      <c r="U5" s="2"/>
      <c r="V5" s="2"/>
      <c r="W5" s="2"/>
      <c r="X5" s="2"/>
    </row>
    <row r="6" spans="1:27" ht="15.75" customHeight="1" x14ac:dyDescent="0.2">
      <c r="A6" s="16" t="s">
        <v>10</v>
      </c>
      <c r="B6" s="17">
        <v>1.7</v>
      </c>
      <c r="C6" s="18">
        <v>24.85</v>
      </c>
      <c r="D6" s="19">
        <f t="shared" ref="D6:D13" si="0">SUM(B6*C6)</f>
        <v>42.245000000000005</v>
      </c>
      <c r="E6" s="12"/>
      <c r="F6" s="20"/>
      <c r="G6" s="21"/>
      <c r="H6" s="22"/>
      <c r="I6" s="22"/>
      <c r="J6" s="23"/>
      <c r="K6" s="23"/>
      <c r="L6" s="2"/>
      <c r="M6" s="14" t="s">
        <v>11</v>
      </c>
      <c r="N6" s="15"/>
      <c r="O6" s="24">
        <f>SUM(25/700)*N6</f>
        <v>0</v>
      </c>
      <c r="P6" s="2"/>
      <c r="Q6" s="2"/>
      <c r="R6" s="2"/>
      <c r="S6" s="2"/>
      <c r="T6" s="2"/>
      <c r="U6" s="2"/>
      <c r="V6" s="2"/>
      <c r="W6" s="2"/>
      <c r="X6" s="2"/>
    </row>
    <row r="7" spans="1:27" ht="15.75" customHeight="1" x14ac:dyDescent="0.2">
      <c r="A7" s="16" t="s">
        <v>12</v>
      </c>
      <c r="B7" s="17">
        <v>0.2</v>
      </c>
      <c r="C7" s="18">
        <v>24.85</v>
      </c>
      <c r="D7" s="19">
        <f t="shared" si="0"/>
        <v>4.9700000000000006</v>
      </c>
      <c r="E7" s="12"/>
      <c r="F7" s="20"/>
      <c r="G7" s="21"/>
      <c r="H7" s="22"/>
      <c r="I7" s="22"/>
      <c r="J7" s="23"/>
      <c r="K7" s="23"/>
      <c r="L7" s="2"/>
      <c r="M7" s="14"/>
      <c r="N7" s="15"/>
      <c r="O7" s="24"/>
      <c r="P7" s="2"/>
      <c r="Q7" s="2"/>
      <c r="R7" s="2"/>
      <c r="S7" s="2"/>
      <c r="T7" s="2"/>
      <c r="U7" s="2"/>
      <c r="V7" s="2"/>
      <c r="W7" s="2"/>
      <c r="X7" s="2"/>
    </row>
    <row r="8" spans="1:27" ht="15.75" customHeight="1" x14ac:dyDescent="0.2">
      <c r="A8" s="16" t="s">
        <v>13</v>
      </c>
      <c r="B8" s="17">
        <v>0.2</v>
      </c>
      <c r="C8" s="18">
        <v>16.68</v>
      </c>
      <c r="D8" s="19">
        <f t="shared" si="0"/>
        <v>3.3360000000000003</v>
      </c>
      <c r="E8" s="12"/>
      <c r="F8" s="20"/>
      <c r="G8" s="21"/>
      <c r="H8" s="22"/>
      <c r="I8" s="22"/>
      <c r="J8" s="23"/>
      <c r="K8" s="23"/>
      <c r="L8" s="2"/>
      <c r="M8" s="14"/>
      <c r="N8" s="15"/>
      <c r="O8" s="24"/>
      <c r="P8" s="2"/>
      <c r="Q8" s="2"/>
      <c r="R8" s="2"/>
      <c r="S8" s="2"/>
      <c r="T8" s="2"/>
      <c r="U8" s="2"/>
      <c r="V8" s="2"/>
      <c r="W8" s="2"/>
      <c r="X8" s="2"/>
    </row>
    <row r="9" spans="1:27" ht="15.75" customHeight="1" x14ac:dyDescent="0.2">
      <c r="A9" s="16" t="s">
        <v>14</v>
      </c>
      <c r="B9" s="17">
        <v>0.2</v>
      </c>
      <c r="C9" s="18">
        <v>24.85</v>
      </c>
      <c r="D9" s="19">
        <f t="shared" si="0"/>
        <v>4.9700000000000006</v>
      </c>
      <c r="E9" s="12"/>
      <c r="F9" s="20"/>
      <c r="G9" s="21"/>
      <c r="H9" s="22"/>
      <c r="I9" s="22"/>
      <c r="J9" s="23"/>
      <c r="K9" s="23"/>
      <c r="L9" s="2"/>
      <c r="M9" s="14"/>
      <c r="N9" s="15"/>
      <c r="O9" s="24"/>
      <c r="P9" s="2"/>
      <c r="Q9" s="2"/>
      <c r="R9" s="2"/>
      <c r="S9" s="2"/>
      <c r="T9" s="2"/>
      <c r="U9" s="2"/>
      <c r="V9" s="2"/>
      <c r="W9" s="2"/>
      <c r="X9" s="2"/>
    </row>
    <row r="10" spans="1:27" ht="15.75" customHeight="1" x14ac:dyDescent="0.2">
      <c r="A10" s="16" t="s">
        <v>15</v>
      </c>
      <c r="B10" s="17">
        <v>1.5</v>
      </c>
      <c r="C10" s="17">
        <v>17.989999999999998</v>
      </c>
      <c r="D10" s="19">
        <f t="shared" si="0"/>
        <v>26.984999999999999</v>
      </c>
      <c r="E10" s="12"/>
      <c r="F10" s="20"/>
      <c r="G10" s="21"/>
      <c r="H10" s="22"/>
      <c r="I10" s="22"/>
      <c r="J10" s="23"/>
      <c r="K10" s="23"/>
      <c r="L10" s="2"/>
      <c r="M10" s="14"/>
      <c r="N10" s="15"/>
      <c r="O10" s="24"/>
      <c r="P10" s="2"/>
      <c r="Q10" s="2"/>
      <c r="R10" s="2"/>
      <c r="S10" s="2"/>
      <c r="T10" s="2"/>
      <c r="U10" s="2"/>
      <c r="V10" s="2"/>
      <c r="W10" s="2"/>
      <c r="X10" s="2"/>
    </row>
    <row r="11" spans="1:27" ht="15.75" customHeight="1" x14ac:dyDescent="0.2">
      <c r="A11" s="16" t="s">
        <v>16</v>
      </c>
      <c r="B11" s="17"/>
      <c r="C11" s="18">
        <v>22.97</v>
      </c>
      <c r="D11" s="19">
        <f t="shared" si="0"/>
        <v>0</v>
      </c>
      <c r="E11" s="12"/>
      <c r="F11" s="20"/>
      <c r="G11" s="21"/>
      <c r="H11" s="21"/>
      <c r="I11" s="22"/>
      <c r="J11" s="23"/>
      <c r="K11" s="23"/>
      <c r="L11" s="2"/>
      <c r="M11" s="14" t="s">
        <v>17</v>
      </c>
      <c r="N11" s="15"/>
      <c r="O11" s="24">
        <f>SUM(50/700)*N11</f>
        <v>0</v>
      </c>
      <c r="P11" s="2"/>
      <c r="Q11" s="2"/>
      <c r="R11" s="2"/>
      <c r="S11" s="2"/>
      <c r="T11" s="2"/>
      <c r="U11" s="2"/>
      <c r="V11" s="2"/>
      <c r="W11" s="2"/>
      <c r="X11" s="2"/>
    </row>
    <row r="12" spans="1:27" ht="15.75" customHeight="1" x14ac:dyDescent="0.2">
      <c r="A12" s="16" t="s">
        <v>18</v>
      </c>
      <c r="B12" s="17">
        <v>1</v>
      </c>
      <c r="C12" s="18">
        <v>23.5</v>
      </c>
      <c r="D12" s="19">
        <f t="shared" si="0"/>
        <v>23.5</v>
      </c>
      <c r="E12" s="12"/>
      <c r="F12" s="20"/>
      <c r="G12" s="21"/>
      <c r="H12" s="21"/>
      <c r="I12" s="22"/>
      <c r="J12" s="23"/>
      <c r="K12" s="23"/>
      <c r="L12" s="2"/>
      <c r="M12" s="14"/>
      <c r="N12" s="15"/>
      <c r="O12" s="24"/>
      <c r="P12" s="2"/>
      <c r="Q12" s="2"/>
      <c r="R12" s="2"/>
      <c r="S12" s="2"/>
      <c r="T12" s="2"/>
      <c r="U12" s="2"/>
      <c r="V12" s="2"/>
      <c r="W12" s="2"/>
      <c r="X12" s="2"/>
    </row>
    <row r="13" spans="1:27" ht="15.75" customHeight="1" x14ac:dyDescent="0.2">
      <c r="A13" s="16" t="s">
        <v>19</v>
      </c>
      <c r="B13" s="17">
        <v>3.5</v>
      </c>
      <c r="C13" s="17">
        <v>12.99</v>
      </c>
      <c r="D13" s="19">
        <f t="shared" si="0"/>
        <v>45.465000000000003</v>
      </c>
      <c r="E13" s="12"/>
      <c r="F13" s="20"/>
      <c r="G13" s="21"/>
      <c r="H13" s="21"/>
      <c r="I13" s="22"/>
      <c r="J13" s="23"/>
      <c r="K13" s="23"/>
      <c r="L13" s="2"/>
      <c r="M13" s="14"/>
      <c r="N13" s="15"/>
      <c r="O13" s="24"/>
      <c r="P13" s="2"/>
      <c r="Q13" s="2"/>
      <c r="R13" s="2"/>
      <c r="S13" s="2"/>
      <c r="T13" s="2"/>
      <c r="U13" s="2"/>
      <c r="V13" s="2"/>
      <c r="W13" s="2"/>
      <c r="X13" s="2"/>
    </row>
    <row r="14" spans="1:27" ht="15.75" customHeight="1" x14ac:dyDescent="0.2">
      <c r="A14" s="25"/>
      <c r="B14" s="26"/>
      <c r="C14" s="26"/>
      <c r="D14" s="27"/>
      <c r="E14" s="12"/>
      <c r="F14" s="20"/>
      <c r="G14" s="21"/>
      <c r="H14" s="21"/>
      <c r="I14" s="22"/>
      <c r="J14" s="23"/>
      <c r="K14" s="23"/>
      <c r="L14" s="2"/>
      <c r="M14" s="14"/>
      <c r="N14" s="15" t="s">
        <v>20</v>
      </c>
      <c r="O14" s="24">
        <f>SUM(O6+O11)</f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8" t="s">
        <v>21</v>
      </c>
      <c r="B15" s="29"/>
      <c r="C15" s="29"/>
      <c r="D15" s="30">
        <f t="shared" ref="D15:D23" si="1">SUM(B15*C15)</f>
        <v>0</v>
      </c>
      <c r="E15" s="12"/>
      <c r="F15" s="20"/>
      <c r="G15" s="21"/>
      <c r="H15" s="21"/>
      <c r="I15" s="22"/>
      <c r="J15" s="23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8" t="s">
        <v>22</v>
      </c>
      <c r="B16" s="31">
        <v>3.6</v>
      </c>
      <c r="C16" s="31">
        <v>14.99</v>
      </c>
      <c r="D16" s="30">
        <f t="shared" si="1"/>
        <v>53.963999999999999</v>
      </c>
      <c r="E16" s="12"/>
      <c r="F16" s="20"/>
      <c r="G16" s="21"/>
      <c r="H16" s="21"/>
      <c r="I16" s="22"/>
      <c r="J16" s="23"/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4" ht="15.75" customHeight="1" x14ac:dyDescent="0.2">
      <c r="A17" s="28" t="s">
        <v>23</v>
      </c>
      <c r="B17" s="31">
        <v>2.2999999999999998</v>
      </c>
      <c r="C17" s="32">
        <v>16.190000000000001</v>
      </c>
      <c r="D17" s="30">
        <f t="shared" si="1"/>
        <v>37.237000000000002</v>
      </c>
      <c r="E17" s="12"/>
      <c r="F17" s="20"/>
      <c r="G17" s="21"/>
      <c r="H17" s="21"/>
      <c r="I17" s="22"/>
      <c r="J17" s="23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4" ht="15.75" customHeight="1" x14ac:dyDescent="0.2">
      <c r="A18" s="28" t="s">
        <v>24</v>
      </c>
      <c r="B18" s="31">
        <v>0.7</v>
      </c>
      <c r="C18" s="32">
        <v>17.489999999999998</v>
      </c>
      <c r="D18" s="30">
        <f t="shared" si="1"/>
        <v>12.242999999999999</v>
      </c>
      <c r="E18" s="12"/>
      <c r="F18" s="20"/>
      <c r="G18" s="21"/>
      <c r="H18" s="21"/>
      <c r="I18" s="22"/>
      <c r="J18" s="23"/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">
      <c r="A19" s="28" t="s">
        <v>25</v>
      </c>
      <c r="B19" s="31">
        <v>1.1000000000000001</v>
      </c>
      <c r="C19" s="32">
        <v>17.690000000000001</v>
      </c>
      <c r="D19" s="30">
        <f t="shared" si="1"/>
        <v>19.459000000000003</v>
      </c>
      <c r="E19" s="12"/>
      <c r="F19" s="20"/>
      <c r="G19" s="21"/>
      <c r="H19" s="21"/>
      <c r="I19" s="22"/>
      <c r="J19" s="23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4" ht="15.75" customHeight="1" x14ac:dyDescent="0.2">
      <c r="A20" s="33" t="s">
        <v>157</v>
      </c>
      <c r="B20" s="32">
        <v>0.55000000000000004</v>
      </c>
      <c r="C20" s="32">
        <v>27.99</v>
      </c>
      <c r="D20" s="30">
        <f t="shared" si="1"/>
        <v>15.394500000000001</v>
      </c>
      <c r="E20" s="12"/>
      <c r="F20" s="20"/>
      <c r="G20" s="21"/>
      <c r="H20" s="21"/>
      <c r="I20" s="22"/>
      <c r="J20" s="23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4" ht="15.75" customHeight="1" x14ac:dyDescent="0.2">
      <c r="A21" s="28" t="s">
        <v>26</v>
      </c>
      <c r="B21" s="31">
        <v>2.7</v>
      </c>
      <c r="C21" s="31">
        <v>11.99</v>
      </c>
      <c r="D21" s="30">
        <f t="shared" si="1"/>
        <v>32.373000000000005</v>
      </c>
      <c r="E21" s="12"/>
      <c r="F21" s="20"/>
      <c r="G21" s="21"/>
      <c r="H21" s="21"/>
      <c r="I21" s="22"/>
      <c r="J21" s="23"/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4" ht="15.75" customHeight="1" x14ac:dyDescent="0.2">
      <c r="A22" s="33" t="s">
        <v>180</v>
      </c>
      <c r="B22" s="32">
        <v>0.8</v>
      </c>
      <c r="C22" s="32">
        <v>31.99</v>
      </c>
      <c r="D22" s="30">
        <f t="shared" si="1"/>
        <v>25.591999999999999</v>
      </c>
      <c r="E22" s="12"/>
      <c r="F22" s="20"/>
      <c r="G22" s="21"/>
      <c r="H22" s="21"/>
      <c r="I22" s="22"/>
      <c r="J22" s="23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ht="15.75" customHeight="1" x14ac:dyDescent="0.2">
      <c r="A23" s="33" t="s">
        <v>27</v>
      </c>
      <c r="B23" s="31">
        <v>1.25</v>
      </c>
      <c r="C23" s="31">
        <v>24</v>
      </c>
      <c r="D23" s="30">
        <f t="shared" si="1"/>
        <v>30</v>
      </c>
      <c r="E23" s="12"/>
      <c r="F23" s="20"/>
      <c r="G23" s="21"/>
      <c r="H23" s="21"/>
      <c r="I23" s="22"/>
      <c r="J23" s="23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4" ht="15.75" customHeight="1" x14ac:dyDescent="0.2">
      <c r="A24" s="25"/>
      <c r="B24" s="26"/>
      <c r="C24" s="26"/>
      <c r="D24" s="27"/>
      <c r="E24" s="12"/>
      <c r="F24" s="20"/>
      <c r="G24" s="21"/>
      <c r="H24" s="21"/>
      <c r="I24" s="22"/>
      <c r="J24" s="23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4" ht="15.75" customHeight="1" x14ac:dyDescent="0.2">
      <c r="A25" s="34" t="s">
        <v>28</v>
      </c>
      <c r="B25" s="35"/>
      <c r="C25" s="35"/>
      <c r="D25" s="36">
        <f t="shared" ref="D25:D31" si="2">SUM(B25*C25)</f>
        <v>0</v>
      </c>
      <c r="E25" s="12"/>
      <c r="F25" s="20"/>
      <c r="G25" s="21"/>
      <c r="H25" s="21"/>
      <c r="I25" s="22"/>
      <c r="J25" s="23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4" ht="15.75" customHeight="1" x14ac:dyDescent="0.2">
      <c r="A26" s="34" t="s">
        <v>29</v>
      </c>
      <c r="B26" s="37">
        <v>1.5</v>
      </c>
      <c r="C26" s="35">
        <v>14.89</v>
      </c>
      <c r="D26" s="36">
        <f t="shared" si="2"/>
        <v>22.335000000000001</v>
      </c>
      <c r="E26" s="12"/>
      <c r="F26" s="20"/>
      <c r="G26" s="21"/>
      <c r="H26" s="21"/>
      <c r="I26" s="22"/>
      <c r="J26" s="23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 x14ac:dyDescent="0.2">
      <c r="A27" s="34" t="s">
        <v>30</v>
      </c>
      <c r="B27" s="38">
        <v>1.75</v>
      </c>
      <c r="C27" s="39">
        <v>23.49</v>
      </c>
      <c r="D27" s="36">
        <f t="shared" si="2"/>
        <v>41.107499999999995</v>
      </c>
      <c r="E27" s="12"/>
      <c r="F27" s="20"/>
      <c r="G27" s="21"/>
      <c r="H27" s="21"/>
      <c r="I27" s="22"/>
      <c r="J27" s="2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4" ht="15.75" customHeight="1" x14ac:dyDescent="0.2">
      <c r="A28" s="34" t="s">
        <v>31</v>
      </c>
      <c r="B28" s="38">
        <v>1.2</v>
      </c>
      <c r="C28" s="39">
        <v>23.5</v>
      </c>
      <c r="D28" s="36">
        <f t="shared" si="2"/>
        <v>28.2</v>
      </c>
      <c r="E28" s="12"/>
      <c r="F28" s="20"/>
      <c r="G28" s="21"/>
      <c r="H28" s="21"/>
      <c r="I28" s="22"/>
      <c r="J28" s="23"/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4" ht="15.75" customHeight="1" x14ac:dyDescent="0.2">
      <c r="A29" s="34" t="s">
        <v>32</v>
      </c>
      <c r="B29" s="38">
        <v>2</v>
      </c>
      <c r="C29" s="38">
        <v>18.989999999999998</v>
      </c>
      <c r="D29" s="36">
        <f t="shared" si="2"/>
        <v>37.979999999999997</v>
      </c>
      <c r="E29" s="12"/>
      <c r="F29" s="20"/>
      <c r="G29" s="21"/>
      <c r="H29" s="21"/>
      <c r="I29" s="22"/>
      <c r="J29" s="23"/>
      <c r="K29" s="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2">
      <c r="A30" s="34" t="s">
        <v>33</v>
      </c>
      <c r="B30" s="38">
        <v>3.4</v>
      </c>
      <c r="C30" s="38">
        <v>18.989999999999998</v>
      </c>
      <c r="D30" s="36">
        <f t="shared" si="2"/>
        <v>64.565999999999988</v>
      </c>
      <c r="E30" s="12"/>
      <c r="F30" s="20"/>
      <c r="G30" s="21"/>
      <c r="H30" s="21"/>
      <c r="I30" s="22"/>
      <c r="J30" s="23"/>
      <c r="K30" s="2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2">
      <c r="A31" s="34" t="s">
        <v>34</v>
      </c>
      <c r="B31" s="38">
        <v>4.8</v>
      </c>
      <c r="C31" s="38">
        <v>18.989999999999998</v>
      </c>
      <c r="D31" s="36">
        <f t="shared" si="2"/>
        <v>91.151999999999987</v>
      </c>
      <c r="E31" s="12"/>
      <c r="F31" s="20"/>
      <c r="G31" s="21"/>
      <c r="H31" s="21"/>
      <c r="I31" s="22"/>
      <c r="J31" s="23"/>
      <c r="K31" s="2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2">
      <c r="A32" s="25"/>
      <c r="B32" s="26"/>
      <c r="C32" s="26"/>
      <c r="D32" s="27"/>
      <c r="E32" s="12"/>
      <c r="F32" s="20"/>
      <c r="G32" s="21"/>
      <c r="H32" s="21"/>
      <c r="I32" s="22"/>
      <c r="J32" s="23"/>
      <c r="K32" s="2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">
      <c r="A33" s="40" t="s">
        <v>35</v>
      </c>
      <c r="B33" s="41"/>
      <c r="C33" s="41"/>
      <c r="D33" s="42">
        <f t="shared" ref="D33:D48" si="3">SUM(B33*C33)</f>
        <v>0</v>
      </c>
      <c r="E33" s="12"/>
      <c r="F33" s="20"/>
      <c r="G33" s="21"/>
      <c r="H33" s="21"/>
      <c r="I33" s="22"/>
      <c r="J33" s="23"/>
      <c r="K33" s="23"/>
      <c r="L33" s="2"/>
      <c r="M33" s="2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">
      <c r="A34" s="40" t="s">
        <v>36</v>
      </c>
      <c r="B34" s="43">
        <v>1.95</v>
      </c>
      <c r="C34" s="44">
        <v>17.989999999999998</v>
      </c>
      <c r="D34" s="42">
        <f t="shared" si="3"/>
        <v>35.080499999999994</v>
      </c>
      <c r="E34" s="12"/>
      <c r="F34" s="20"/>
      <c r="G34" s="21"/>
      <c r="H34" s="21"/>
      <c r="I34" s="22"/>
      <c r="J34" s="23"/>
      <c r="K34" s="2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">
      <c r="A35" s="40" t="s">
        <v>37</v>
      </c>
      <c r="B35" s="43">
        <v>0.55000000000000004</v>
      </c>
      <c r="C35" s="43">
        <v>17.989999999999998</v>
      </c>
      <c r="D35" s="42">
        <f t="shared" si="3"/>
        <v>9.8945000000000007</v>
      </c>
      <c r="E35" s="12"/>
      <c r="F35" s="20"/>
      <c r="G35" s="21"/>
      <c r="H35" s="21"/>
      <c r="I35" s="22"/>
      <c r="J35" s="23"/>
      <c r="K35" s="2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">
      <c r="A36" s="40" t="s">
        <v>38</v>
      </c>
      <c r="B36" s="43">
        <v>2.4</v>
      </c>
      <c r="C36" s="43">
        <v>17.989999999999998</v>
      </c>
      <c r="D36" s="42">
        <f t="shared" si="3"/>
        <v>43.175999999999995</v>
      </c>
      <c r="E36" s="12"/>
      <c r="F36" s="20"/>
      <c r="G36" s="21"/>
      <c r="H36" s="21"/>
      <c r="I36" s="22"/>
      <c r="J36" s="23"/>
      <c r="K36" s="2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">
      <c r="A37" s="45" t="s">
        <v>158</v>
      </c>
      <c r="B37" s="44">
        <v>0.55000000000000004</v>
      </c>
      <c r="C37" s="44">
        <v>14.99</v>
      </c>
      <c r="D37" s="42">
        <f t="shared" si="3"/>
        <v>8.2445000000000004</v>
      </c>
      <c r="E37" s="12"/>
      <c r="F37" s="20"/>
      <c r="G37" s="21"/>
      <c r="H37" s="21"/>
      <c r="I37" s="22"/>
      <c r="J37" s="23"/>
      <c r="K37" s="2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">
      <c r="A38" s="40" t="s">
        <v>39</v>
      </c>
      <c r="B38" s="43">
        <v>1.25</v>
      </c>
      <c r="C38" s="44">
        <v>16.489999999999998</v>
      </c>
      <c r="D38" s="42">
        <f t="shared" si="3"/>
        <v>20.612499999999997</v>
      </c>
      <c r="E38" s="12"/>
      <c r="F38" s="20"/>
      <c r="G38" s="21"/>
      <c r="H38" s="21"/>
      <c r="I38" s="22"/>
      <c r="J38" s="23"/>
      <c r="K38" s="2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">
      <c r="A39" s="40" t="s">
        <v>40</v>
      </c>
      <c r="B39" s="43">
        <v>0.65</v>
      </c>
      <c r="C39" s="44">
        <v>28.5</v>
      </c>
      <c r="D39" s="42">
        <f t="shared" si="3"/>
        <v>18.525000000000002</v>
      </c>
      <c r="E39" s="12"/>
      <c r="F39" s="20"/>
      <c r="G39" s="21"/>
      <c r="H39" s="21"/>
      <c r="I39" s="22"/>
      <c r="J39" s="23"/>
      <c r="K39" s="2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">
      <c r="A40" s="40" t="s">
        <v>41</v>
      </c>
      <c r="B40" s="43"/>
      <c r="C40" s="43">
        <v>23.49</v>
      </c>
      <c r="D40" s="42">
        <f t="shared" si="3"/>
        <v>0</v>
      </c>
      <c r="E40" s="12"/>
      <c r="F40" s="20"/>
      <c r="G40" s="21"/>
      <c r="H40" s="21"/>
      <c r="I40" s="22"/>
      <c r="J40" s="23"/>
      <c r="K40" s="2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">
      <c r="A41" s="40" t="s">
        <v>42</v>
      </c>
      <c r="B41" s="43">
        <v>0.5</v>
      </c>
      <c r="C41" s="44">
        <v>20.99</v>
      </c>
      <c r="D41" s="42">
        <f t="shared" si="3"/>
        <v>10.494999999999999</v>
      </c>
      <c r="E41" s="12"/>
      <c r="F41" s="20"/>
      <c r="G41" s="21"/>
      <c r="H41" s="21"/>
      <c r="I41" s="22"/>
      <c r="J41" s="23"/>
      <c r="K41" s="2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40" t="s">
        <v>43</v>
      </c>
      <c r="B42" s="43">
        <v>1</v>
      </c>
      <c r="C42" s="43">
        <v>14.99</v>
      </c>
      <c r="D42" s="42">
        <f t="shared" si="3"/>
        <v>14.99</v>
      </c>
      <c r="E42" s="12"/>
      <c r="F42" s="20"/>
      <c r="G42" s="21"/>
      <c r="H42" s="21"/>
      <c r="I42" s="22"/>
      <c r="J42" s="23"/>
      <c r="K42" s="2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40" t="s">
        <v>44</v>
      </c>
      <c r="B43" s="43">
        <v>0.5</v>
      </c>
      <c r="C43" s="44">
        <v>31.99</v>
      </c>
      <c r="D43" s="42">
        <f t="shared" si="3"/>
        <v>15.994999999999999</v>
      </c>
      <c r="E43" s="12"/>
      <c r="F43" s="20"/>
      <c r="G43" s="21"/>
      <c r="H43" s="21"/>
      <c r="I43" s="22"/>
      <c r="J43" s="23"/>
      <c r="K43" s="2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45" t="s">
        <v>45</v>
      </c>
      <c r="B44" s="43"/>
      <c r="C44" s="43">
        <v>28</v>
      </c>
      <c r="D44" s="42">
        <f t="shared" si="3"/>
        <v>0</v>
      </c>
      <c r="E44" s="12"/>
      <c r="F44" s="20"/>
      <c r="G44" s="21"/>
      <c r="H44" s="21"/>
      <c r="I44" s="22"/>
      <c r="J44" s="23"/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40" t="s">
        <v>46</v>
      </c>
      <c r="B45" s="43">
        <v>0.65</v>
      </c>
      <c r="C45" s="43">
        <v>15.99</v>
      </c>
      <c r="D45" s="42">
        <f t="shared" si="3"/>
        <v>10.393500000000001</v>
      </c>
      <c r="E45" s="12"/>
      <c r="F45" s="20"/>
      <c r="G45" s="21"/>
      <c r="H45" s="21"/>
      <c r="I45" s="22"/>
      <c r="J45" s="23"/>
      <c r="K45" s="2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40" t="s">
        <v>47</v>
      </c>
      <c r="B46" s="43">
        <v>0.65</v>
      </c>
      <c r="C46" s="44">
        <v>20.29</v>
      </c>
      <c r="D46" s="42">
        <f t="shared" si="3"/>
        <v>13.188499999999999</v>
      </c>
      <c r="E46" s="12"/>
      <c r="F46" s="20"/>
      <c r="G46" s="21"/>
      <c r="H46" s="21"/>
      <c r="I46" s="22"/>
      <c r="J46" s="23"/>
      <c r="K46" s="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40" t="s">
        <v>48</v>
      </c>
      <c r="B47" s="43">
        <v>1.2</v>
      </c>
      <c r="C47" s="43">
        <v>12.49</v>
      </c>
      <c r="D47" s="42">
        <f t="shared" si="3"/>
        <v>14.988</v>
      </c>
      <c r="E47" s="12"/>
      <c r="F47" s="20"/>
      <c r="G47" s="21"/>
      <c r="H47" s="21"/>
      <c r="I47" s="22"/>
      <c r="J47" s="23"/>
      <c r="K47" s="2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40" t="s">
        <v>49</v>
      </c>
      <c r="B48" s="43">
        <v>2.2999999999999998</v>
      </c>
      <c r="C48" s="44">
        <v>16.989999999999998</v>
      </c>
      <c r="D48" s="42">
        <f t="shared" si="3"/>
        <v>39.076999999999991</v>
      </c>
      <c r="E48" s="12"/>
      <c r="F48" s="20"/>
      <c r="G48" s="21"/>
      <c r="H48" s="21"/>
      <c r="I48" s="22"/>
      <c r="J48" s="23"/>
      <c r="K48" s="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7" ht="15.75" customHeight="1" x14ac:dyDescent="0.2">
      <c r="A49" s="25"/>
      <c r="B49" s="26"/>
      <c r="C49" s="26"/>
      <c r="D49" s="27"/>
      <c r="E49" s="12"/>
      <c r="F49" s="20"/>
      <c r="G49" s="21"/>
      <c r="H49" s="21"/>
      <c r="I49" s="22"/>
      <c r="J49" s="23"/>
      <c r="K49" s="2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7" ht="15.75" customHeight="1" x14ac:dyDescent="0.2">
      <c r="A50" s="46" t="s">
        <v>50</v>
      </c>
      <c r="B50" s="47"/>
      <c r="C50" s="47"/>
      <c r="D50" s="48"/>
      <c r="E50" s="12"/>
      <c r="F50" s="20"/>
      <c r="G50" s="21"/>
      <c r="H50" s="21"/>
      <c r="I50" s="22"/>
      <c r="J50" s="23"/>
      <c r="K50" s="2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7" ht="15.75" customHeight="1" x14ac:dyDescent="0.2">
      <c r="A51" s="46" t="s">
        <v>51</v>
      </c>
      <c r="B51" s="49">
        <v>1.7</v>
      </c>
      <c r="C51" s="50">
        <v>16.489999999999998</v>
      </c>
      <c r="D51" s="48">
        <f t="shared" ref="D51:D55" si="4">SUM(B51*C51)</f>
        <v>28.032999999999998</v>
      </c>
      <c r="E51" s="12"/>
      <c r="F51" s="20"/>
      <c r="G51" s="21"/>
      <c r="H51" s="21"/>
      <c r="I51" s="22"/>
      <c r="J51" s="23"/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7" ht="15.75" customHeight="1" x14ac:dyDescent="0.2">
      <c r="A52" s="46" t="s">
        <v>52</v>
      </c>
      <c r="B52" s="49">
        <v>2.1</v>
      </c>
      <c r="C52" s="50">
        <v>12.49</v>
      </c>
      <c r="D52" s="48">
        <f t="shared" si="4"/>
        <v>26.229000000000003</v>
      </c>
      <c r="E52" s="12"/>
      <c r="F52" s="20"/>
      <c r="G52" s="21"/>
      <c r="H52" s="21"/>
      <c r="I52" s="22"/>
      <c r="J52" s="23"/>
      <c r="K52" s="2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7" ht="15.75" customHeight="1" x14ac:dyDescent="0.2">
      <c r="A53" s="46" t="s">
        <v>53</v>
      </c>
      <c r="B53" s="49">
        <v>2.5499999999999998</v>
      </c>
      <c r="C53" s="50">
        <v>12.49</v>
      </c>
      <c r="D53" s="48">
        <f t="shared" si="4"/>
        <v>31.849499999999999</v>
      </c>
      <c r="E53" s="12"/>
      <c r="F53" s="20"/>
      <c r="G53" s="21"/>
      <c r="H53" s="21"/>
      <c r="I53" s="22"/>
      <c r="J53" s="23"/>
      <c r="K53" s="2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7" ht="15.75" customHeight="1" x14ac:dyDescent="0.2">
      <c r="A54" s="46" t="s">
        <v>54</v>
      </c>
      <c r="B54" s="49"/>
      <c r="C54" s="49">
        <v>8.99</v>
      </c>
      <c r="D54" s="48">
        <f t="shared" si="4"/>
        <v>0</v>
      </c>
      <c r="E54" s="12"/>
      <c r="F54" s="20"/>
      <c r="G54" s="21"/>
      <c r="H54" s="21"/>
      <c r="I54" s="22"/>
      <c r="J54" s="23"/>
      <c r="K54" s="2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7" ht="15.75" customHeight="1" x14ac:dyDescent="0.2">
      <c r="A55" s="46" t="s">
        <v>55</v>
      </c>
      <c r="B55" s="49">
        <v>0.85</v>
      </c>
      <c r="C55" s="50">
        <v>11.99</v>
      </c>
      <c r="D55" s="48">
        <f t="shared" si="4"/>
        <v>10.1915</v>
      </c>
      <c r="E55" s="12"/>
      <c r="F55" s="20"/>
      <c r="G55" s="21"/>
      <c r="H55" s="21"/>
      <c r="I55" s="22"/>
      <c r="J55" s="23"/>
      <c r="K55" s="2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7" ht="15.75" customHeight="1" x14ac:dyDescent="0.2">
      <c r="A56" s="46" t="s">
        <v>56</v>
      </c>
      <c r="B56" s="49">
        <v>2.2000000000000002</v>
      </c>
      <c r="C56" s="49">
        <v>12.99</v>
      </c>
      <c r="D56" s="48">
        <f t="shared" ref="D56:D67" si="5">SUM(B56*C56)</f>
        <v>28.578000000000003</v>
      </c>
      <c r="E56" s="12"/>
      <c r="F56" s="20"/>
      <c r="G56" s="21"/>
      <c r="H56" s="21"/>
      <c r="I56" s="22"/>
      <c r="J56" s="23"/>
      <c r="K56" s="2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7" ht="15.75" customHeight="1" x14ac:dyDescent="0.2">
      <c r="A57" s="46" t="s">
        <v>57</v>
      </c>
      <c r="B57" s="49">
        <v>2.1</v>
      </c>
      <c r="C57" s="49">
        <v>11.99</v>
      </c>
      <c r="D57" s="48">
        <f t="shared" si="5"/>
        <v>25.179000000000002</v>
      </c>
      <c r="E57" s="12"/>
      <c r="F57" s="20"/>
      <c r="G57" s="21"/>
      <c r="H57" s="21"/>
      <c r="I57" s="22"/>
      <c r="J57" s="23"/>
      <c r="K57" s="2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46" t="s">
        <v>58</v>
      </c>
      <c r="B58" s="49">
        <v>0.1</v>
      </c>
      <c r="C58" s="50">
        <v>11.99</v>
      </c>
      <c r="D58" s="48">
        <f t="shared" si="5"/>
        <v>1.1990000000000001</v>
      </c>
      <c r="E58" s="12"/>
      <c r="F58" s="20"/>
      <c r="G58" s="21"/>
      <c r="H58" s="21"/>
      <c r="I58" s="22"/>
      <c r="J58" s="23"/>
      <c r="K58" s="2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46" t="s">
        <v>59</v>
      </c>
      <c r="B59" s="49">
        <v>1</v>
      </c>
      <c r="C59" s="50">
        <v>12.29</v>
      </c>
      <c r="D59" s="48">
        <f t="shared" si="5"/>
        <v>12.29</v>
      </c>
      <c r="E59" s="12"/>
      <c r="F59" s="20"/>
      <c r="G59" s="21"/>
      <c r="H59" s="21"/>
      <c r="I59" s="22"/>
      <c r="J59" s="23"/>
      <c r="K59" s="2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46" t="s">
        <v>60</v>
      </c>
      <c r="B60" s="49">
        <v>2.1</v>
      </c>
      <c r="C60" s="49">
        <v>11.49</v>
      </c>
      <c r="D60" s="48">
        <f t="shared" si="5"/>
        <v>24.129000000000001</v>
      </c>
      <c r="E60" s="12"/>
      <c r="F60" s="20"/>
      <c r="G60" s="21"/>
      <c r="H60" s="21"/>
      <c r="I60" s="22"/>
      <c r="J60" s="23"/>
      <c r="K60" s="2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46" t="s">
        <v>61</v>
      </c>
      <c r="B61" s="49">
        <v>0.4</v>
      </c>
      <c r="C61" s="50">
        <v>9.99</v>
      </c>
      <c r="D61" s="48">
        <f t="shared" si="5"/>
        <v>3.9960000000000004</v>
      </c>
      <c r="E61" s="12"/>
      <c r="F61" s="20"/>
      <c r="G61" s="21"/>
      <c r="H61" s="21"/>
      <c r="I61" s="22"/>
      <c r="J61" s="23"/>
      <c r="K61" s="2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46" t="s">
        <v>62</v>
      </c>
      <c r="B62" s="49">
        <v>1.25</v>
      </c>
      <c r="C62" s="50">
        <v>14.99</v>
      </c>
      <c r="D62" s="48">
        <f t="shared" si="5"/>
        <v>18.737500000000001</v>
      </c>
      <c r="E62" s="12"/>
      <c r="F62" s="20"/>
      <c r="G62" s="21"/>
      <c r="H62" s="21"/>
      <c r="I62" s="22"/>
      <c r="J62" s="23"/>
      <c r="K62" s="2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46" t="s">
        <v>63</v>
      </c>
      <c r="B63" s="49">
        <v>1.9</v>
      </c>
      <c r="C63" s="50">
        <v>11.99</v>
      </c>
      <c r="D63" s="48">
        <f t="shared" si="5"/>
        <v>22.780999999999999</v>
      </c>
      <c r="E63" s="12"/>
      <c r="F63" s="20"/>
      <c r="G63" s="21"/>
      <c r="H63" s="21"/>
      <c r="I63" s="22"/>
      <c r="J63" s="23"/>
      <c r="K63" s="2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46" t="s">
        <v>64</v>
      </c>
      <c r="B64" s="49">
        <v>2</v>
      </c>
      <c r="C64" s="50">
        <v>14</v>
      </c>
      <c r="D64" s="48">
        <f t="shared" si="5"/>
        <v>28</v>
      </c>
      <c r="E64" s="12"/>
      <c r="F64" s="20"/>
      <c r="G64" s="21"/>
      <c r="H64" s="21"/>
      <c r="I64" s="22"/>
      <c r="J64" s="23"/>
      <c r="K64" s="2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46" t="s">
        <v>156</v>
      </c>
      <c r="B65" s="49">
        <v>1.2</v>
      </c>
      <c r="C65" s="50">
        <v>12.99</v>
      </c>
      <c r="D65" s="48">
        <f t="shared" si="5"/>
        <v>15.587999999999999</v>
      </c>
      <c r="E65" s="12"/>
      <c r="F65" s="20"/>
      <c r="G65" s="21"/>
      <c r="H65" s="21"/>
      <c r="I65" s="22"/>
      <c r="J65" s="23"/>
      <c r="K65" s="2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51" t="s">
        <v>65</v>
      </c>
      <c r="B66" s="49">
        <v>1.7</v>
      </c>
      <c r="C66" s="49">
        <v>14.99</v>
      </c>
      <c r="D66" s="48">
        <f t="shared" si="5"/>
        <v>25.483000000000001</v>
      </c>
      <c r="E66" s="12"/>
      <c r="F66" s="20"/>
      <c r="G66" s="21"/>
      <c r="H66" s="21"/>
      <c r="I66" s="22"/>
      <c r="J66" s="23"/>
      <c r="K66" s="2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51" t="s">
        <v>66</v>
      </c>
      <c r="B67" s="49">
        <v>1</v>
      </c>
      <c r="C67" s="49">
        <v>400</v>
      </c>
      <c r="D67" s="48">
        <f t="shared" si="5"/>
        <v>400</v>
      </c>
      <c r="E67" s="12"/>
      <c r="F67" s="20"/>
      <c r="G67" s="21"/>
      <c r="H67" s="21"/>
      <c r="I67" s="22"/>
      <c r="J67" s="23"/>
      <c r="K67" s="2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25"/>
      <c r="B68" s="26"/>
      <c r="C68" s="26"/>
      <c r="D68" s="27"/>
      <c r="E68" s="12"/>
      <c r="F68" s="20"/>
      <c r="G68" s="21"/>
      <c r="H68" s="21"/>
      <c r="I68" s="22"/>
      <c r="J68" s="23"/>
      <c r="K68" s="2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25"/>
      <c r="B69" s="26"/>
      <c r="C69" s="26"/>
      <c r="D69" s="27"/>
      <c r="E69" s="12"/>
      <c r="F69" s="20"/>
      <c r="G69" s="21"/>
      <c r="H69" s="21"/>
      <c r="I69" s="22"/>
      <c r="J69" s="23"/>
      <c r="K69" s="2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52" t="s">
        <v>67</v>
      </c>
      <c r="B70" s="53"/>
      <c r="C70" s="53"/>
      <c r="D70" s="54">
        <f t="shared" ref="D70:D72" si="6">SUM(B70*C70)</f>
        <v>0</v>
      </c>
      <c r="E70" s="12"/>
      <c r="F70" s="20"/>
      <c r="G70" s="21"/>
      <c r="H70" s="21"/>
      <c r="I70" s="22"/>
      <c r="J70" s="23"/>
      <c r="K70" s="2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52" t="s">
        <v>68</v>
      </c>
      <c r="B71" s="55">
        <v>0.4</v>
      </c>
      <c r="C71" s="56">
        <v>6.99</v>
      </c>
      <c r="D71" s="54">
        <f t="shared" si="6"/>
        <v>2.7960000000000003</v>
      </c>
      <c r="E71" s="12"/>
      <c r="F71" s="20"/>
      <c r="G71" s="21"/>
      <c r="H71" s="21"/>
      <c r="I71" s="22"/>
      <c r="J71" s="23"/>
      <c r="K71" s="2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52" t="s">
        <v>69</v>
      </c>
      <c r="B72" s="55"/>
      <c r="C72" s="56">
        <v>0</v>
      </c>
      <c r="D72" s="54">
        <f t="shared" si="6"/>
        <v>0</v>
      </c>
      <c r="E72" s="12"/>
      <c r="F72" s="20"/>
      <c r="G72" s="21"/>
      <c r="H72" s="21"/>
      <c r="I72" s="22"/>
      <c r="J72" s="23"/>
      <c r="K72" s="2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25"/>
      <c r="B73" s="26"/>
      <c r="C73" s="26"/>
      <c r="D73" s="27"/>
      <c r="E73" s="12"/>
      <c r="F73" s="20"/>
      <c r="G73" s="21"/>
      <c r="H73" s="21"/>
      <c r="I73" s="22"/>
      <c r="J73" s="23"/>
      <c r="K73" s="2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57" t="s">
        <v>70</v>
      </c>
      <c r="B74" s="26"/>
      <c r="C74" s="26"/>
      <c r="D74" s="27"/>
      <c r="E74" s="12"/>
      <c r="F74" s="20"/>
      <c r="G74" s="21"/>
      <c r="H74" s="21"/>
      <c r="I74" s="22"/>
      <c r="J74" s="23"/>
      <c r="K74" s="2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58" t="s">
        <v>71</v>
      </c>
      <c r="B75" s="59"/>
      <c r="C75" s="59"/>
      <c r="D75" s="60"/>
      <c r="E75" s="12"/>
      <c r="F75" s="20"/>
      <c r="G75" s="21"/>
      <c r="H75" s="21"/>
      <c r="I75" s="22"/>
      <c r="J75" s="23"/>
      <c r="K75" s="2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58" t="s">
        <v>165</v>
      </c>
      <c r="B76" s="61">
        <v>8</v>
      </c>
      <c r="C76" s="62">
        <v>5.98</v>
      </c>
      <c r="D76" s="60">
        <f t="shared" ref="D76:D79" si="7">SUM(B76*C76)</f>
        <v>47.84</v>
      </c>
      <c r="E76" s="12"/>
      <c r="F76" s="20"/>
      <c r="G76" s="21"/>
      <c r="H76" s="21"/>
      <c r="I76" s="22"/>
      <c r="J76" s="23"/>
      <c r="K76" s="23"/>
      <c r="L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58" t="s">
        <v>166</v>
      </c>
      <c r="B77" s="61">
        <v>4</v>
      </c>
      <c r="C77" s="62">
        <v>7.23</v>
      </c>
      <c r="D77" s="60">
        <f t="shared" si="7"/>
        <v>28.92</v>
      </c>
      <c r="E77" s="12"/>
      <c r="F77" s="20"/>
      <c r="G77" s="21"/>
      <c r="H77" s="21"/>
      <c r="I77" s="22"/>
      <c r="J77" s="23"/>
      <c r="K77" s="23"/>
      <c r="L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58" t="s">
        <v>73</v>
      </c>
      <c r="B78" s="61"/>
      <c r="C78" s="59">
        <v>5.36</v>
      </c>
      <c r="D78" s="60">
        <f t="shared" si="7"/>
        <v>0</v>
      </c>
      <c r="E78" s="12"/>
      <c r="F78" s="20"/>
      <c r="G78" s="21"/>
      <c r="H78" s="21"/>
      <c r="I78" s="22"/>
      <c r="J78" s="23"/>
      <c r="K78" s="23"/>
      <c r="L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58" t="s">
        <v>72</v>
      </c>
      <c r="B79" s="62">
        <v>5.3</v>
      </c>
      <c r="C79" s="62">
        <v>5.93</v>
      </c>
      <c r="D79" s="60">
        <f t="shared" si="7"/>
        <v>31.428999999999998</v>
      </c>
      <c r="E79" s="12"/>
      <c r="F79" s="20"/>
      <c r="G79" s="21"/>
      <c r="H79" s="21"/>
      <c r="I79" s="22"/>
      <c r="J79" s="23"/>
      <c r="K79" s="23"/>
      <c r="L79" s="2"/>
      <c r="M79" s="132" t="s">
        <v>74</v>
      </c>
      <c r="N79" s="130"/>
      <c r="O79" s="13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63"/>
      <c r="B80" s="64"/>
      <c r="C80" s="64"/>
      <c r="D80" s="27"/>
      <c r="E80" s="12"/>
      <c r="F80" s="20"/>
      <c r="G80" s="21"/>
      <c r="H80" s="21"/>
      <c r="I80" s="22"/>
      <c r="J80" s="23"/>
      <c r="K80" s="23"/>
      <c r="L80" s="2"/>
      <c r="M80" s="65" t="s">
        <v>7</v>
      </c>
      <c r="N80" s="65" t="s">
        <v>8</v>
      </c>
      <c r="O80" s="65" t="s">
        <v>9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66" t="s">
        <v>75</v>
      </c>
      <c r="B81" s="67"/>
      <c r="C81" s="67"/>
      <c r="D81" s="68"/>
      <c r="E81" s="12"/>
      <c r="F81" s="20"/>
      <c r="G81" s="21"/>
      <c r="H81" s="21"/>
      <c r="I81" s="22"/>
      <c r="J81" s="23"/>
      <c r="K81" s="23"/>
      <c r="L81" s="2"/>
      <c r="M81" s="65" t="s">
        <v>76</v>
      </c>
      <c r="N81" s="65"/>
      <c r="O81" s="65">
        <f>SUM(175/750)*N81</f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">
      <c r="A82" s="66" t="s">
        <v>160</v>
      </c>
      <c r="B82" s="69">
        <v>7</v>
      </c>
      <c r="C82" s="69">
        <v>5.41</v>
      </c>
      <c r="D82" s="68">
        <f t="shared" ref="D82:D84" si="8">SUM(B82*C82)</f>
        <v>37.870000000000005</v>
      </c>
      <c r="E82" s="12"/>
      <c r="F82" s="20"/>
      <c r="G82" s="21"/>
      <c r="H82" s="21"/>
      <c r="I82" s="22"/>
      <c r="J82" s="23"/>
      <c r="K82" s="23"/>
      <c r="L82" s="2"/>
      <c r="M82" s="65"/>
      <c r="N82" s="65"/>
      <c r="O82" s="6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">
      <c r="A83" s="66" t="s">
        <v>161</v>
      </c>
      <c r="B83" s="69">
        <v>2.8</v>
      </c>
      <c r="C83" s="69">
        <v>5.8</v>
      </c>
      <c r="D83" s="68">
        <f t="shared" si="8"/>
        <v>16.239999999999998</v>
      </c>
      <c r="E83" s="12"/>
      <c r="F83" s="20"/>
      <c r="G83" s="21"/>
      <c r="H83" s="21"/>
      <c r="I83" s="22"/>
      <c r="J83" s="23"/>
      <c r="K83" s="23"/>
      <c r="L83" s="2"/>
      <c r="M83" s="65"/>
      <c r="N83" s="65"/>
      <c r="O83" s="6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">
      <c r="A84" s="66" t="s">
        <v>162</v>
      </c>
      <c r="B84" s="69">
        <v>8.6999999999999993</v>
      </c>
      <c r="C84" s="69">
        <v>7</v>
      </c>
      <c r="D84" s="68">
        <f t="shared" si="8"/>
        <v>60.899999999999991</v>
      </c>
      <c r="E84" s="12"/>
      <c r="F84" s="20"/>
      <c r="G84" s="21"/>
      <c r="H84" s="21"/>
      <c r="I84" s="22"/>
      <c r="J84" s="23"/>
      <c r="K84" s="23"/>
      <c r="L84" s="2"/>
      <c r="M84" s="65"/>
      <c r="N84" s="65"/>
      <c r="O84" s="6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">
      <c r="A85" s="66" t="s">
        <v>77</v>
      </c>
      <c r="B85" s="69">
        <v>6</v>
      </c>
      <c r="C85" s="67">
        <v>7.18</v>
      </c>
      <c r="D85" s="68">
        <f t="shared" ref="D85:D87" si="9">SUM(B85*C85)</f>
        <v>43.08</v>
      </c>
      <c r="E85" s="12"/>
      <c r="F85" s="20"/>
      <c r="G85" s="21"/>
      <c r="H85" s="21"/>
      <c r="I85" s="22"/>
      <c r="J85" s="23"/>
      <c r="K85" s="23"/>
      <c r="L85" s="2"/>
      <c r="M85" s="65"/>
      <c r="N85" s="65" t="s">
        <v>20</v>
      </c>
      <c r="O85" s="65" t="e">
        <f>SUM(O81+#REF!)</f>
        <v>#REF!</v>
      </c>
      <c r="P85" s="2"/>
      <c r="Q85" s="2"/>
      <c r="R85" s="2"/>
      <c r="S85" s="2"/>
      <c r="T85" s="2"/>
      <c r="U85" s="2"/>
      <c r="V85" s="2"/>
      <c r="W85" s="2"/>
      <c r="X85" s="2"/>
    </row>
    <row r="86" spans="1:27" ht="15.75" customHeight="1" x14ac:dyDescent="0.2">
      <c r="A86" s="66" t="s">
        <v>78</v>
      </c>
      <c r="B86" s="69"/>
      <c r="C86" s="67">
        <v>5.88</v>
      </c>
      <c r="D86" s="68">
        <f t="shared" si="9"/>
        <v>0</v>
      </c>
      <c r="E86" s="12"/>
      <c r="F86" s="20"/>
      <c r="G86" s="21"/>
      <c r="H86" s="21"/>
      <c r="I86" s="22"/>
      <c r="J86" s="23"/>
      <c r="K86" s="23"/>
      <c r="L86" s="2"/>
      <c r="M86" s="70"/>
      <c r="N86" s="70"/>
      <c r="O86" s="70"/>
      <c r="P86" s="2"/>
      <c r="Q86" s="2"/>
      <c r="R86" s="2"/>
      <c r="S86" s="2"/>
      <c r="T86" s="2"/>
      <c r="U86" s="2"/>
      <c r="V86" s="2"/>
      <c r="W86" s="2"/>
      <c r="X86" s="2"/>
    </row>
    <row r="87" spans="1:27" ht="15.75" customHeight="1" x14ac:dyDescent="0.2">
      <c r="A87" s="66" t="s">
        <v>79</v>
      </c>
      <c r="B87" s="69">
        <v>6</v>
      </c>
      <c r="C87" s="67">
        <v>5.56</v>
      </c>
      <c r="D87" s="68">
        <f t="shared" si="9"/>
        <v>33.36</v>
      </c>
      <c r="E87" s="12"/>
      <c r="F87" s="20"/>
      <c r="G87" s="21"/>
      <c r="H87" s="21"/>
      <c r="I87" s="22"/>
      <c r="J87" s="23"/>
      <c r="K87" s="2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7" ht="15.75" customHeight="1" x14ac:dyDescent="0.2">
      <c r="A88" s="57"/>
      <c r="B88" s="64"/>
      <c r="C88" s="64"/>
      <c r="D88" s="27"/>
      <c r="E88" s="12"/>
      <c r="F88" s="20"/>
      <c r="G88" s="21"/>
      <c r="H88" s="21"/>
      <c r="I88" s="22"/>
      <c r="J88" s="23"/>
      <c r="K88" s="2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7" ht="15.75" customHeight="1" x14ac:dyDescent="0.2">
      <c r="A89" s="71" t="s">
        <v>80</v>
      </c>
      <c r="B89" s="72"/>
      <c r="C89" s="72"/>
      <c r="D89" s="73"/>
      <c r="E89" s="12"/>
      <c r="F89" s="20"/>
      <c r="G89" s="21"/>
      <c r="H89" s="21"/>
      <c r="I89" s="22"/>
      <c r="J89" s="23"/>
      <c r="K89" s="2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7" ht="15.75" customHeight="1" x14ac:dyDescent="0.2">
      <c r="A90" s="71" t="s">
        <v>163</v>
      </c>
      <c r="B90" s="74">
        <v>0</v>
      </c>
      <c r="C90" s="74">
        <v>5.35</v>
      </c>
      <c r="D90" s="73">
        <f t="shared" ref="D90:D93" si="10">SUM(B90*C90)</f>
        <v>0</v>
      </c>
      <c r="E90" s="12"/>
      <c r="F90" s="20"/>
      <c r="G90" s="21"/>
      <c r="H90" s="21"/>
      <c r="I90" s="22"/>
      <c r="J90" s="23"/>
      <c r="K90" s="2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7" ht="15.75" customHeight="1" x14ac:dyDescent="0.2">
      <c r="A91" s="71" t="s">
        <v>164</v>
      </c>
      <c r="B91" s="74">
        <v>7</v>
      </c>
      <c r="C91" s="74">
        <v>5.8</v>
      </c>
      <c r="D91" s="73">
        <f t="shared" si="10"/>
        <v>40.6</v>
      </c>
      <c r="E91" s="12"/>
      <c r="F91" s="20"/>
      <c r="G91" s="21"/>
      <c r="H91" s="21"/>
      <c r="I91" s="22"/>
      <c r="J91" s="23"/>
      <c r="K91" s="2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7" ht="15.75" customHeight="1" x14ac:dyDescent="0.2">
      <c r="A92" s="71" t="s">
        <v>81</v>
      </c>
      <c r="B92" s="74">
        <v>20.8</v>
      </c>
      <c r="C92" s="72">
        <v>5.53</v>
      </c>
      <c r="D92" s="73">
        <f t="shared" si="10"/>
        <v>115.02400000000002</v>
      </c>
      <c r="E92" s="12"/>
      <c r="F92" s="20"/>
      <c r="G92" s="21"/>
      <c r="H92" s="21"/>
      <c r="I92" s="22"/>
      <c r="J92" s="23"/>
      <c r="K92" s="2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7" ht="15.75" customHeight="1" x14ac:dyDescent="0.2">
      <c r="A93" s="71" t="s">
        <v>82</v>
      </c>
      <c r="B93" s="74">
        <v>4.5</v>
      </c>
      <c r="C93" s="72">
        <v>5.88</v>
      </c>
      <c r="D93" s="73">
        <f t="shared" si="10"/>
        <v>26.46</v>
      </c>
      <c r="E93" s="12"/>
      <c r="F93" s="20"/>
      <c r="G93" s="21"/>
      <c r="H93" s="21"/>
      <c r="I93" s="22"/>
      <c r="J93" s="23"/>
      <c r="K93" s="2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7" ht="15.75" customHeight="1" x14ac:dyDescent="0.2">
      <c r="A94" s="57"/>
      <c r="B94" s="64"/>
      <c r="C94" s="64"/>
      <c r="D94" s="27"/>
      <c r="E94" s="12"/>
      <c r="F94" s="20"/>
      <c r="G94" s="21"/>
      <c r="H94" s="21"/>
      <c r="I94" s="22"/>
      <c r="J94" s="23"/>
      <c r="K94" s="2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7" ht="15.75" customHeight="1" x14ac:dyDescent="0.2">
      <c r="A95" s="75" t="s">
        <v>83</v>
      </c>
      <c r="B95" s="76"/>
      <c r="C95" s="76"/>
      <c r="D95" s="77"/>
      <c r="E95" s="12"/>
      <c r="F95" s="20"/>
      <c r="G95" s="21"/>
      <c r="H95" s="21"/>
      <c r="I95" s="22"/>
      <c r="J95" s="23"/>
      <c r="K95" s="2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">
      <c r="A96" s="75" t="s">
        <v>167</v>
      </c>
      <c r="B96" s="76">
        <v>12</v>
      </c>
      <c r="C96" s="76">
        <v>6.92</v>
      </c>
      <c r="D96" s="77">
        <f t="shared" ref="D96:D98" si="11">SUM(B96*C96)</f>
        <v>83.039999999999992</v>
      </c>
      <c r="E96" s="12"/>
      <c r="F96" s="20"/>
      <c r="G96" s="21"/>
      <c r="H96" s="21"/>
      <c r="I96" s="22"/>
      <c r="J96" s="23"/>
      <c r="K96" s="2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75" t="s">
        <v>168</v>
      </c>
      <c r="B97" s="76">
        <v>0</v>
      </c>
      <c r="C97" s="76">
        <v>7.21</v>
      </c>
      <c r="D97" s="77">
        <f t="shared" si="11"/>
        <v>0</v>
      </c>
      <c r="E97" s="12"/>
      <c r="F97" s="20"/>
      <c r="G97" s="21"/>
      <c r="H97" s="21"/>
      <c r="I97" s="22"/>
      <c r="J97" s="23"/>
      <c r="K97" s="2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75" t="s">
        <v>169</v>
      </c>
      <c r="B98" s="76">
        <v>10.4</v>
      </c>
      <c r="C98" s="76">
        <v>5.74</v>
      </c>
      <c r="D98" s="77">
        <f t="shared" si="11"/>
        <v>59.696000000000005</v>
      </c>
      <c r="E98" s="12"/>
      <c r="F98" s="20"/>
      <c r="G98" s="21"/>
      <c r="H98" s="21"/>
      <c r="I98" s="22"/>
      <c r="J98" s="23"/>
      <c r="K98" s="2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75" t="s">
        <v>84</v>
      </c>
      <c r="B99" s="78"/>
      <c r="C99" s="79">
        <v>6.99</v>
      </c>
      <c r="D99" s="77">
        <f t="shared" ref="D99:D101" si="12">SUM(B99*C99)</f>
        <v>0</v>
      </c>
      <c r="E99" s="12"/>
      <c r="F99" s="20"/>
      <c r="G99" s="21"/>
      <c r="H99" s="21"/>
      <c r="I99" s="22"/>
      <c r="J99" s="23"/>
      <c r="K99" s="23"/>
      <c r="L99" s="2"/>
      <c r="M99" s="80"/>
      <c r="N99" s="80"/>
      <c r="O99" s="8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75" t="s">
        <v>85</v>
      </c>
      <c r="B100" s="78">
        <v>0.7</v>
      </c>
      <c r="C100" s="79">
        <v>7.16</v>
      </c>
      <c r="D100" s="77">
        <f t="shared" si="12"/>
        <v>5.0119999999999996</v>
      </c>
      <c r="E100" s="12"/>
      <c r="F100" s="20"/>
      <c r="G100" s="21"/>
      <c r="H100" s="21"/>
      <c r="I100" s="22"/>
      <c r="J100" s="23"/>
      <c r="K100" s="23"/>
      <c r="L100" s="2"/>
      <c r="M100" s="80"/>
      <c r="N100" s="80"/>
      <c r="O100" s="8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75" t="s">
        <v>86</v>
      </c>
      <c r="B101" s="78">
        <v>0.5</v>
      </c>
      <c r="C101" s="79">
        <v>5.66</v>
      </c>
      <c r="D101" s="77">
        <f t="shared" si="12"/>
        <v>2.83</v>
      </c>
      <c r="E101" s="12"/>
      <c r="F101" s="20"/>
      <c r="G101" s="21"/>
      <c r="H101" s="21"/>
      <c r="I101" s="22"/>
      <c r="J101" s="23"/>
      <c r="K101" s="23"/>
      <c r="L101" s="2"/>
      <c r="M101" s="80"/>
      <c r="N101" s="80"/>
      <c r="O101" s="8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25"/>
      <c r="B102" s="26"/>
      <c r="C102" s="26"/>
      <c r="D102" s="27"/>
      <c r="E102" s="12"/>
      <c r="F102" s="20"/>
      <c r="G102" s="21"/>
      <c r="H102" s="21"/>
      <c r="I102" s="22"/>
      <c r="J102" s="23"/>
      <c r="K102" s="23"/>
      <c r="L102" s="2"/>
      <c r="M102" s="81" t="s">
        <v>87</v>
      </c>
      <c r="N102" s="81"/>
      <c r="O102" s="81">
        <f>SUM(125/750)*N102</f>
        <v>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82" t="s">
        <v>88</v>
      </c>
      <c r="B103" s="83"/>
      <c r="C103" s="83"/>
      <c r="D103" s="84"/>
      <c r="E103" s="12"/>
      <c r="F103" s="20"/>
      <c r="G103" s="21"/>
      <c r="H103" s="21"/>
      <c r="I103" s="22"/>
      <c r="J103" s="23"/>
      <c r="K103" s="2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85" t="s">
        <v>171</v>
      </c>
      <c r="B104" s="86">
        <v>14.5</v>
      </c>
      <c r="C104" s="86">
        <v>1.0900000000000001</v>
      </c>
      <c r="D104" s="84">
        <f t="shared" ref="D104:D117" si="13">SUM(B104*C104)</f>
        <v>15.805000000000001</v>
      </c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7" ht="15.75" customHeight="1" x14ac:dyDescent="0.2">
      <c r="A105" s="90" t="s">
        <v>170</v>
      </c>
      <c r="B105" s="87">
        <v>15.8</v>
      </c>
      <c r="C105" s="87">
        <v>1.1200000000000001</v>
      </c>
      <c r="D105" s="84">
        <f t="shared" si="13"/>
        <v>17.696000000000002</v>
      </c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7" ht="15.75" customHeight="1" x14ac:dyDescent="0.2">
      <c r="A106" s="85" t="s">
        <v>172</v>
      </c>
      <c r="B106" s="86">
        <v>10</v>
      </c>
      <c r="C106" s="86">
        <v>1.1599999999999999</v>
      </c>
      <c r="D106" s="84">
        <f t="shared" si="13"/>
        <v>11.6</v>
      </c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7" ht="15.75" customHeight="1" x14ac:dyDescent="0.2">
      <c r="A107" s="85" t="s">
        <v>89</v>
      </c>
      <c r="B107" s="86">
        <v>3.2</v>
      </c>
      <c r="C107" s="87">
        <v>2.99</v>
      </c>
      <c r="D107" s="84">
        <f t="shared" si="13"/>
        <v>9.5680000000000014</v>
      </c>
      <c r="E107" s="12"/>
      <c r="F107" s="20"/>
      <c r="G107" s="21"/>
      <c r="H107" s="21"/>
      <c r="I107" s="88"/>
      <c r="J107" s="89"/>
      <c r="K107" s="8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85" t="s">
        <v>90</v>
      </c>
      <c r="B108" s="86">
        <v>14.1</v>
      </c>
      <c r="C108" s="87">
        <v>2.99</v>
      </c>
      <c r="D108" s="84">
        <f t="shared" si="13"/>
        <v>42.158999999999999</v>
      </c>
      <c r="E108" s="12"/>
      <c r="F108" s="20"/>
      <c r="G108" s="21"/>
      <c r="H108" s="21"/>
      <c r="I108" s="88"/>
      <c r="J108" s="89"/>
      <c r="K108" s="89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85" t="s">
        <v>91</v>
      </c>
      <c r="B109" s="86">
        <v>21.6</v>
      </c>
      <c r="C109" s="87">
        <v>2.99</v>
      </c>
      <c r="D109" s="84">
        <f t="shared" si="13"/>
        <v>64.584000000000003</v>
      </c>
      <c r="E109" s="12"/>
      <c r="F109" s="20"/>
      <c r="G109" s="21"/>
      <c r="H109" s="21"/>
      <c r="I109" s="88"/>
      <c r="J109" s="89"/>
      <c r="K109" s="8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85" t="s">
        <v>92</v>
      </c>
      <c r="B110" s="86"/>
      <c r="C110" s="86">
        <v>0.75</v>
      </c>
      <c r="D110" s="84">
        <f t="shared" si="13"/>
        <v>0</v>
      </c>
      <c r="E110" s="12"/>
      <c r="F110" s="20"/>
      <c r="G110" s="21"/>
      <c r="H110" s="21"/>
      <c r="I110" s="88"/>
      <c r="J110" s="89"/>
      <c r="K110" s="89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85" t="s">
        <v>93</v>
      </c>
      <c r="B111" s="86">
        <v>31</v>
      </c>
      <c r="C111" s="86">
        <v>0.7</v>
      </c>
      <c r="D111" s="84">
        <f t="shared" si="13"/>
        <v>21.7</v>
      </c>
      <c r="E111" s="12"/>
      <c r="F111" s="20"/>
      <c r="G111" s="21"/>
      <c r="H111" s="21"/>
      <c r="I111" s="88"/>
      <c r="J111" s="89"/>
      <c r="K111" s="89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85" t="s">
        <v>94</v>
      </c>
      <c r="B112" s="86">
        <v>22</v>
      </c>
      <c r="C112" s="86">
        <v>0.7</v>
      </c>
      <c r="D112" s="84">
        <f t="shared" si="13"/>
        <v>15.399999999999999</v>
      </c>
      <c r="E112" s="12"/>
      <c r="F112" s="20"/>
      <c r="G112" s="21"/>
      <c r="H112" s="21"/>
      <c r="I112" s="88"/>
      <c r="J112" s="89"/>
      <c r="K112" s="89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85" t="s">
        <v>95</v>
      </c>
      <c r="B113" s="86">
        <v>40</v>
      </c>
      <c r="C113" s="86">
        <v>0.94</v>
      </c>
      <c r="D113" s="84">
        <f t="shared" si="13"/>
        <v>37.599999999999994</v>
      </c>
      <c r="E113" s="12"/>
      <c r="F113" s="20"/>
      <c r="G113" s="21"/>
      <c r="H113" s="21"/>
      <c r="I113" s="88"/>
      <c r="J113" s="89"/>
      <c r="K113" s="89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85" t="s">
        <v>96</v>
      </c>
      <c r="B114" s="86">
        <v>11</v>
      </c>
      <c r="C114" s="86">
        <v>1.24</v>
      </c>
      <c r="D114" s="84">
        <f t="shared" si="13"/>
        <v>13.64</v>
      </c>
      <c r="E114" s="12"/>
      <c r="F114" s="20"/>
      <c r="G114" s="21"/>
      <c r="H114" s="21"/>
      <c r="I114" s="88"/>
      <c r="J114" s="89"/>
      <c r="K114" s="8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85" t="s">
        <v>97</v>
      </c>
      <c r="B115" s="86">
        <v>8.3000000000000007</v>
      </c>
      <c r="C115" s="87">
        <v>5.05</v>
      </c>
      <c r="D115" s="84">
        <f t="shared" si="13"/>
        <v>41.914999999999999</v>
      </c>
      <c r="E115" s="12"/>
      <c r="F115" s="20"/>
      <c r="G115" s="21"/>
      <c r="H115" s="21"/>
      <c r="I115" s="88"/>
      <c r="J115" s="89"/>
      <c r="K115" s="8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90" t="s">
        <v>98</v>
      </c>
      <c r="B116" s="86">
        <v>55</v>
      </c>
      <c r="C116" s="86">
        <v>0.15</v>
      </c>
      <c r="D116" s="84">
        <f t="shared" si="13"/>
        <v>8.25</v>
      </c>
      <c r="E116" s="12"/>
      <c r="F116" s="20"/>
      <c r="G116" s="21"/>
      <c r="H116" s="21"/>
      <c r="I116" s="88"/>
      <c r="J116" s="89"/>
      <c r="K116" s="89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90" t="s">
        <v>99</v>
      </c>
      <c r="B117" s="86">
        <v>51</v>
      </c>
      <c r="C117" s="86">
        <v>0.55000000000000004</v>
      </c>
      <c r="D117" s="84">
        <f t="shared" si="13"/>
        <v>28.05</v>
      </c>
      <c r="E117" s="12"/>
      <c r="F117" s="20"/>
      <c r="G117" s="21"/>
      <c r="H117" s="21"/>
      <c r="I117" s="88"/>
      <c r="J117" s="89"/>
      <c r="K117" s="8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85"/>
      <c r="B118" s="86"/>
      <c r="C118" s="87"/>
      <c r="D118" s="84"/>
      <c r="E118" s="12"/>
      <c r="F118" s="20"/>
      <c r="G118" s="21"/>
      <c r="H118" s="21"/>
      <c r="I118" s="88"/>
      <c r="J118" s="89"/>
      <c r="K118" s="89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63"/>
      <c r="B119" s="26"/>
      <c r="C119" s="26"/>
      <c r="D119" s="27"/>
      <c r="E119" s="12"/>
      <c r="F119" s="20"/>
      <c r="G119" s="21"/>
      <c r="H119" s="21"/>
      <c r="I119" s="22"/>
      <c r="J119" s="23"/>
      <c r="K119" s="23"/>
      <c r="L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91" t="s">
        <v>100</v>
      </c>
      <c r="B120" s="92"/>
      <c r="C120" s="92"/>
      <c r="D120" s="93"/>
      <c r="E120" s="12"/>
      <c r="F120" s="20"/>
      <c r="G120" s="21"/>
      <c r="H120" s="21"/>
      <c r="I120" s="22"/>
      <c r="J120" s="23"/>
      <c r="K120" s="23"/>
      <c r="L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91" t="s">
        <v>101</v>
      </c>
      <c r="B121" s="94">
        <v>16</v>
      </c>
      <c r="C121" s="95">
        <v>1.37</v>
      </c>
      <c r="D121" s="93">
        <f t="shared" ref="D121:D138" si="14">SUM(B121*C121)</f>
        <v>21.92</v>
      </c>
      <c r="E121" s="12"/>
      <c r="F121" s="20"/>
      <c r="G121" s="21"/>
      <c r="H121" s="21"/>
      <c r="I121" s="22"/>
      <c r="J121" s="23"/>
      <c r="K121" s="23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91" t="s">
        <v>102</v>
      </c>
      <c r="B122" s="94">
        <v>25</v>
      </c>
      <c r="C122" s="95">
        <v>1.37</v>
      </c>
      <c r="D122" s="93">
        <f t="shared" si="14"/>
        <v>34.25</v>
      </c>
      <c r="E122" s="12"/>
      <c r="F122" s="20"/>
      <c r="G122" s="21"/>
      <c r="H122" s="21"/>
      <c r="I122" s="22"/>
      <c r="J122" s="23"/>
      <c r="K122" s="23"/>
      <c r="L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96" t="s">
        <v>103</v>
      </c>
      <c r="B123" s="94">
        <v>15</v>
      </c>
      <c r="C123" s="95">
        <v>1.19</v>
      </c>
      <c r="D123" s="93">
        <f t="shared" si="14"/>
        <v>17.849999999999998</v>
      </c>
      <c r="E123" s="12"/>
      <c r="F123" s="20"/>
      <c r="G123" s="21"/>
      <c r="H123" s="21"/>
      <c r="I123" s="22"/>
      <c r="J123" s="23"/>
      <c r="K123" s="23"/>
      <c r="L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91" t="s">
        <v>104</v>
      </c>
      <c r="B124" s="94">
        <v>6</v>
      </c>
      <c r="C124" s="95">
        <v>1.08</v>
      </c>
      <c r="D124" s="93">
        <f t="shared" si="14"/>
        <v>6.48</v>
      </c>
      <c r="E124" s="12"/>
      <c r="F124" s="20"/>
      <c r="G124" s="21"/>
      <c r="H124" s="21"/>
      <c r="I124" s="22"/>
      <c r="J124" s="23"/>
      <c r="K124" s="23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91" t="s">
        <v>105</v>
      </c>
      <c r="B125" s="94">
        <v>4</v>
      </c>
      <c r="C125" s="94">
        <v>0.94</v>
      </c>
      <c r="D125" s="93">
        <f t="shared" si="14"/>
        <v>3.76</v>
      </c>
      <c r="E125" s="12"/>
      <c r="F125" s="20"/>
      <c r="G125" s="21"/>
      <c r="H125" s="21"/>
      <c r="I125" s="22"/>
      <c r="J125" s="23"/>
      <c r="K125" s="23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96" t="s">
        <v>106</v>
      </c>
      <c r="B126" s="94">
        <v>7</v>
      </c>
      <c r="C126" s="94">
        <v>0.94</v>
      </c>
      <c r="D126" s="93">
        <f t="shared" si="14"/>
        <v>6.58</v>
      </c>
      <c r="E126" s="12"/>
      <c r="F126" s="20"/>
      <c r="G126" s="21"/>
      <c r="H126" s="21"/>
      <c r="I126" s="22"/>
      <c r="J126" s="23"/>
      <c r="K126" s="23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91" t="s">
        <v>107</v>
      </c>
      <c r="B127" s="94"/>
      <c r="C127" s="95">
        <v>1.75</v>
      </c>
      <c r="D127" s="93">
        <f t="shared" si="14"/>
        <v>0</v>
      </c>
      <c r="E127" s="12"/>
      <c r="F127" s="20"/>
      <c r="G127" s="21"/>
      <c r="H127" s="21"/>
      <c r="I127" s="22"/>
      <c r="J127" s="23"/>
      <c r="K127" s="23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91" t="s">
        <v>108</v>
      </c>
      <c r="B128" s="94">
        <v>43</v>
      </c>
      <c r="C128" s="95">
        <v>1.7</v>
      </c>
      <c r="D128" s="93">
        <f t="shared" si="14"/>
        <v>73.099999999999994</v>
      </c>
      <c r="E128" s="12"/>
      <c r="F128" s="20"/>
      <c r="G128" s="21"/>
      <c r="H128" s="21"/>
      <c r="I128" s="22"/>
      <c r="J128" s="23"/>
      <c r="K128" s="23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91" t="s">
        <v>109</v>
      </c>
      <c r="B129" s="94">
        <v>43</v>
      </c>
      <c r="C129" s="95">
        <v>1.02</v>
      </c>
      <c r="D129" s="93">
        <f t="shared" si="14"/>
        <v>43.86</v>
      </c>
      <c r="E129" s="12"/>
      <c r="F129" s="20"/>
      <c r="G129" s="21"/>
      <c r="H129" s="21"/>
      <c r="I129" s="22"/>
      <c r="J129" s="23"/>
      <c r="K129" s="23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96" t="s">
        <v>110</v>
      </c>
      <c r="B130" s="94">
        <v>567</v>
      </c>
      <c r="C130" s="94">
        <v>1.33</v>
      </c>
      <c r="D130" s="93">
        <f t="shared" si="14"/>
        <v>754.11</v>
      </c>
      <c r="E130" s="12"/>
      <c r="F130" s="20"/>
      <c r="G130" s="21"/>
      <c r="H130" s="21"/>
      <c r="I130" s="22"/>
      <c r="J130" s="23"/>
      <c r="K130" s="23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96" t="s">
        <v>111</v>
      </c>
      <c r="B131" s="94">
        <v>18</v>
      </c>
      <c r="C131" s="94">
        <v>4.5</v>
      </c>
      <c r="D131" s="93">
        <f t="shared" si="14"/>
        <v>81</v>
      </c>
      <c r="E131" s="12"/>
      <c r="F131" s="20"/>
      <c r="G131" s="21"/>
      <c r="H131" s="21"/>
      <c r="I131" s="22"/>
      <c r="J131" s="23"/>
      <c r="K131" s="23"/>
      <c r="L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96" t="s">
        <v>112</v>
      </c>
      <c r="B132" s="94">
        <v>19</v>
      </c>
      <c r="C132" s="94">
        <v>5.2</v>
      </c>
      <c r="D132" s="93">
        <f t="shared" si="14"/>
        <v>98.8</v>
      </c>
      <c r="E132" s="12"/>
      <c r="F132" s="20"/>
      <c r="G132" s="21"/>
      <c r="H132" s="21"/>
      <c r="I132" s="22"/>
      <c r="J132" s="23"/>
      <c r="K132" s="23"/>
      <c r="L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96" t="s">
        <v>113</v>
      </c>
      <c r="B133" s="94">
        <v>13</v>
      </c>
      <c r="C133" s="94">
        <v>5.2</v>
      </c>
      <c r="D133" s="93">
        <f t="shared" si="14"/>
        <v>67.600000000000009</v>
      </c>
      <c r="E133" s="12"/>
      <c r="F133" s="20"/>
      <c r="G133" s="21"/>
      <c r="H133" s="21"/>
      <c r="I133" s="22"/>
      <c r="J133" s="23"/>
      <c r="K133" s="23"/>
      <c r="L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96" t="s">
        <v>173</v>
      </c>
      <c r="B134" s="95">
        <v>3</v>
      </c>
      <c r="C134" s="95">
        <f>24/12</f>
        <v>2</v>
      </c>
      <c r="D134" s="93">
        <f t="shared" si="14"/>
        <v>6</v>
      </c>
      <c r="E134" s="12"/>
      <c r="F134" s="20"/>
      <c r="G134" s="21"/>
      <c r="H134" s="21"/>
      <c r="I134" s="22"/>
      <c r="J134" s="23"/>
      <c r="K134" s="23"/>
      <c r="L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96" t="s">
        <v>174</v>
      </c>
      <c r="B135" s="95">
        <v>8</v>
      </c>
      <c r="C135" s="95">
        <f>25/12</f>
        <v>2.0833333333333335</v>
      </c>
      <c r="D135" s="93">
        <f t="shared" si="14"/>
        <v>16.666666666666668</v>
      </c>
      <c r="E135" s="12"/>
      <c r="F135" s="20"/>
      <c r="G135" s="21"/>
      <c r="H135" s="21"/>
      <c r="I135" s="22"/>
      <c r="J135" s="23"/>
      <c r="K135" s="23"/>
      <c r="L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96" t="s">
        <v>175</v>
      </c>
      <c r="B136" s="95">
        <v>10</v>
      </c>
      <c r="C136" s="95">
        <v>1.7</v>
      </c>
      <c r="D136" s="93">
        <f t="shared" si="14"/>
        <v>17</v>
      </c>
      <c r="E136" s="12"/>
      <c r="F136" s="20"/>
      <c r="G136" s="21"/>
      <c r="H136" s="21"/>
      <c r="I136" s="22"/>
      <c r="J136" s="23"/>
      <c r="K136" s="23"/>
      <c r="L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96" t="s">
        <v>176</v>
      </c>
      <c r="B137" s="95">
        <v>11</v>
      </c>
      <c r="C137" s="95">
        <f>SUM(20.4/12)</f>
        <v>1.7</v>
      </c>
      <c r="D137" s="93">
        <f t="shared" si="14"/>
        <v>18.7</v>
      </c>
      <c r="E137" s="12"/>
      <c r="F137" s="20"/>
      <c r="G137" s="21"/>
      <c r="H137" s="21"/>
      <c r="I137" s="22"/>
      <c r="J137" s="23"/>
      <c r="K137" s="23"/>
      <c r="L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96" t="s">
        <v>177</v>
      </c>
      <c r="B138" s="95">
        <v>4</v>
      </c>
      <c r="C138" s="95">
        <f>14.5/12</f>
        <v>1.2083333333333333</v>
      </c>
      <c r="D138" s="93">
        <f t="shared" si="14"/>
        <v>4.833333333333333</v>
      </c>
      <c r="E138" s="12"/>
      <c r="F138" s="20"/>
      <c r="G138" s="21"/>
      <c r="H138" s="21"/>
      <c r="I138" s="22"/>
      <c r="J138" s="23"/>
      <c r="K138" s="23"/>
      <c r="L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25"/>
      <c r="B139" s="26"/>
      <c r="C139" s="26"/>
      <c r="D139" s="27"/>
      <c r="E139" s="12"/>
      <c r="F139" s="20"/>
      <c r="G139" s="21"/>
      <c r="H139" s="21"/>
      <c r="I139" s="22"/>
      <c r="J139" s="23"/>
      <c r="K139" s="23"/>
      <c r="L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97" t="s">
        <v>114</v>
      </c>
      <c r="B140" s="98"/>
      <c r="C140" s="98"/>
      <c r="D140" s="98"/>
      <c r="E140" s="12"/>
      <c r="F140" s="20"/>
      <c r="G140" s="21"/>
      <c r="H140" s="21"/>
      <c r="I140" s="22"/>
      <c r="J140" s="23"/>
      <c r="K140" s="23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97" t="s">
        <v>115</v>
      </c>
      <c r="B141" s="99">
        <v>3</v>
      </c>
      <c r="C141" s="100">
        <f>26.53*1.2</f>
        <v>31.835999999999999</v>
      </c>
      <c r="D141" s="101">
        <f t="shared" ref="D141:D149" si="15">SUM(B141*C141)</f>
        <v>95.507999999999996</v>
      </c>
      <c r="E141" s="12"/>
      <c r="F141" s="20"/>
      <c r="G141" s="21"/>
      <c r="H141" s="21"/>
      <c r="I141" s="22"/>
      <c r="J141" s="23"/>
      <c r="K141" s="23"/>
      <c r="L141" s="2"/>
      <c r="M141" s="133" t="s">
        <v>116</v>
      </c>
      <c r="N141" s="130"/>
      <c r="O141" s="13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97" t="s">
        <v>117</v>
      </c>
      <c r="B142" s="99">
        <v>4</v>
      </c>
      <c r="C142" s="100">
        <f>33.72*1.2</f>
        <v>40.463999999999999</v>
      </c>
      <c r="D142" s="101">
        <f t="shared" si="15"/>
        <v>161.85599999999999</v>
      </c>
      <c r="E142" s="12"/>
      <c r="F142" s="20"/>
      <c r="G142" s="21"/>
      <c r="H142" s="21"/>
      <c r="I142" s="22"/>
      <c r="J142" s="23"/>
      <c r="K142" s="23"/>
      <c r="L142" s="2"/>
      <c r="M142" s="102" t="s">
        <v>118</v>
      </c>
      <c r="N142" s="102" t="s">
        <v>8</v>
      </c>
      <c r="O142" s="102" t="s">
        <v>9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97" t="s">
        <v>178</v>
      </c>
      <c r="B143" s="99">
        <v>0.25</v>
      </c>
      <c r="C143" s="100">
        <f>37.17*1.2</f>
        <v>44.603999999999999</v>
      </c>
      <c r="D143" s="101">
        <f t="shared" si="15"/>
        <v>11.151</v>
      </c>
      <c r="E143" s="12"/>
      <c r="F143" s="20"/>
      <c r="G143" s="21"/>
      <c r="H143" s="21"/>
      <c r="I143" s="22"/>
      <c r="J143" s="23"/>
      <c r="K143" s="23"/>
      <c r="L143" s="2"/>
      <c r="M143" s="102"/>
      <c r="N143" s="102"/>
      <c r="O143" s="10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97" t="s">
        <v>119</v>
      </c>
      <c r="B144" s="99"/>
      <c r="C144" s="100">
        <f>19.59*1.2</f>
        <v>23.507999999999999</v>
      </c>
      <c r="D144" s="101">
        <f t="shared" si="15"/>
        <v>0</v>
      </c>
      <c r="E144" s="12"/>
      <c r="F144" s="20"/>
      <c r="G144" s="21"/>
      <c r="H144" s="21"/>
      <c r="I144" s="22"/>
      <c r="J144" s="23"/>
      <c r="K144" s="23"/>
      <c r="L144" s="2"/>
      <c r="M144" s="102" t="s">
        <v>120</v>
      </c>
      <c r="N144" s="103"/>
      <c r="O144" s="102">
        <f>SUM(284/36819)*N144</f>
        <v>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97" t="s">
        <v>181</v>
      </c>
      <c r="B145" s="99">
        <v>1.95</v>
      </c>
      <c r="C145" s="100">
        <f>49*1.2</f>
        <v>58.8</v>
      </c>
      <c r="D145" s="101">
        <f t="shared" si="15"/>
        <v>114.66</v>
      </c>
      <c r="E145" s="12"/>
      <c r="F145" s="20"/>
      <c r="G145" s="21"/>
      <c r="H145" s="21"/>
      <c r="I145" s="22"/>
      <c r="J145" s="23"/>
      <c r="K145" s="23"/>
      <c r="L145" s="2"/>
      <c r="M145" s="102" t="s">
        <v>121</v>
      </c>
      <c r="N145" s="103"/>
      <c r="O145" s="102">
        <f>SUM(568/36819)*N145</f>
        <v>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97" t="s">
        <v>122</v>
      </c>
      <c r="B146" s="99"/>
      <c r="C146" s="100">
        <v>90</v>
      </c>
      <c r="D146" s="101">
        <f t="shared" si="15"/>
        <v>0</v>
      </c>
      <c r="E146" s="12"/>
      <c r="F146" s="20"/>
      <c r="G146" s="21"/>
      <c r="H146" s="21"/>
      <c r="I146" s="22"/>
      <c r="J146" s="23"/>
      <c r="K146" s="23"/>
      <c r="L146" s="2"/>
      <c r="M146" s="102" t="s">
        <v>123</v>
      </c>
      <c r="N146" s="103"/>
      <c r="O146" s="102">
        <f>SUM(1100/36819)*N146</f>
        <v>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97" t="s">
        <v>179</v>
      </c>
      <c r="B147" s="99">
        <v>0.8</v>
      </c>
      <c r="C147" s="100">
        <f>44.81*1.2</f>
        <v>53.771999999999998</v>
      </c>
      <c r="D147" s="101">
        <f t="shared" si="15"/>
        <v>43.017600000000002</v>
      </c>
      <c r="E147" s="12"/>
      <c r="F147" s="20"/>
      <c r="G147" s="21"/>
      <c r="H147" s="21"/>
      <c r="I147" s="22"/>
      <c r="J147" s="23"/>
      <c r="K147" s="23"/>
      <c r="L147" s="2"/>
      <c r="M147" s="102"/>
      <c r="N147" s="102" t="s">
        <v>20</v>
      </c>
      <c r="O147" s="102">
        <f>SUM(O144+O145+O146)</f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104" t="s">
        <v>124</v>
      </c>
      <c r="B148" s="99"/>
      <c r="C148" s="100">
        <f>29.69*1.2</f>
        <v>35.628</v>
      </c>
      <c r="D148" s="101">
        <f t="shared" si="15"/>
        <v>0</v>
      </c>
      <c r="E148" s="12"/>
      <c r="F148" s="20"/>
      <c r="G148" s="21"/>
      <c r="H148" s="21"/>
      <c r="I148" s="22"/>
      <c r="J148" s="23"/>
      <c r="K148" s="23"/>
      <c r="L148" s="2"/>
      <c r="M148" s="105"/>
      <c r="N148" s="105"/>
      <c r="O148" s="10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104" t="s">
        <v>125</v>
      </c>
      <c r="B149" s="99"/>
      <c r="C149" s="100">
        <f>30.1*1.2</f>
        <v>36.119999999999997</v>
      </c>
      <c r="D149" s="101">
        <f t="shared" si="15"/>
        <v>0</v>
      </c>
      <c r="E149" s="12"/>
      <c r="F149" s="20"/>
      <c r="G149" s="21"/>
      <c r="H149" s="21"/>
      <c r="I149" s="22"/>
      <c r="J149" s="23"/>
      <c r="K149" s="23"/>
      <c r="L149" s="2"/>
      <c r="M149" s="105"/>
      <c r="N149" s="105"/>
      <c r="O149" s="10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25"/>
      <c r="B150" s="26"/>
      <c r="C150" s="26"/>
      <c r="D150" s="27"/>
      <c r="E150" s="12"/>
      <c r="F150" s="20"/>
      <c r="G150" s="21"/>
      <c r="H150" s="21"/>
      <c r="I150" s="22"/>
      <c r="J150" s="23"/>
      <c r="K150" s="23"/>
      <c r="L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106" t="s">
        <v>126</v>
      </c>
      <c r="B151" s="107"/>
      <c r="C151" s="107"/>
      <c r="D151" s="107"/>
      <c r="E151" s="12"/>
      <c r="F151" s="20"/>
      <c r="G151" s="21"/>
      <c r="H151" s="21"/>
      <c r="I151" s="22"/>
      <c r="J151" s="23"/>
      <c r="K151" s="2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106" t="s">
        <v>127</v>
      </c>
      <c r="B152" s="108">
        <v>8.4</v>
      </c>
      <c r="C152" s="109">
        <f>43.36*1.2</f>
        <v>52.031999999999996</v>
      </c>
      <c r="D152" s="110">
        <f t="shared" ref="D152:D156" si="16">SUM(B152*C152)</f>
        <v>437.06880000000001</v>
      </c>
      <c r="E152" s="12"/>
      <c r="F152" s="20"/>
      <c r="G152" s="21"/>
      <c r="H152" s="21"/>
      <c r="I152" s="22"/>
      <c r="J152" s="23"/>
      <c r="K152" s="23"/>
      <c r="L152" s="2"/>
      <c r="M152" s="111" t="s">
        <v>118</v>
      </c>
      <c r="N152" s="111" t="s">
        <v>8</v>
      </c>
      <c r="O152" s="111" t="s">
        <v>9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106" t="s">
        <v>182</v>
      </c>
      <c r="B153" s="108">
        <v>1</v>
      </c>
      <c r="C153" s="109">
        <f>47.21*1.2</f>
        <v>56.652000000000001</v>
      </c>
      <c r="D153" s="110">
        <f t="shared" si="16"/>
        <v>56.652000000000001</v>
      </c>
      <c r="E153" s="12"/>
      <c r="F153" s="20"/>
      <c r="G153" s="21"/>
      <c r="H153" s="21"/>
      <c r="I153" s="22"/>
      <c r="J153" s="23"/>
      <c r="K153" s="23"/>
      <c r="L153" s="2"/>
      <c r="M153" s="134" t="s">
        <v>128</v>
      </c>
      <c r="N153" s="130"/>
      <c r="O153" s="13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106" t="s">
        <v>129</v>
      </c>
      <c r="B154" s="108">
        <v>2.7</v>
      </c>
      <c r="C154" s="109">
        <f>39.45*1.2</f>
        <v>47.34</v>
      </c>
      <c r="D154" s="110">
        <f t="shared" si="16"/>
        <v>127.81800000000001</v>
      </c>
      <c r="E154" s="12"/>
      <c r="F154" s="20"/>
      <c r="G154" s="21"/>
      <c r="H154" s="21"/>
      <c r="I154" s="22"/>
      <c r="J154" s="23"/>
      <c r="K154" s="23"/>
      <c r="L154" s="2"/>
      <c r="M154" s="112"/>
      <c r="N154" s="112"/>
      <c r="O154" s="11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106" t="s">
        <v>130</v>
      </c>
      <c r="B155" s="108"/>
      <c r="C155" s="109">
        <v>0</v>
      </c>
      <c r="D155" s="110">
        <f t="shared" si="16"/>
        <v>0</v>
      </c>
      <c r="E155" s="12"/>
      <c r="F155" s="20"/>
      <c r="G155" s="21"/>
      <c r="H155" s="21"/>
      <c r="I155" s="22"/>
      <c r="J155" s="23"/>
      <c r="K155" s="23"/>
      <c r="L155" s="2"/>
      <c r="M155" s="112"/>
      <c r="N155" s="112"/>
      <c r="O155" s="11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106" t="s">
        <v>183</v>
      </c>
      <c r="B156" s="108">
        <v>0.75</v>
      </c>
      <c r="C156" s="109">
        <f>56.37*1.2</f>
        <v>67.643999999999991</v>
      </c>
      <c r="D156" s="110">
        <f t="shared" si="16"/>
        <v>50.73299999999999</v>
      </c>
      <c r="E156" s="12"/>
      <c r="F156" s="20"/>
      <c r="G156" s="21"/>
      <c r="H156" s="21"/>
      <c r="I156" s="22"/>
      <c r="J156" s="23"/>
      <c r="K156" s="23"/>
      <c r="L156" s="2"/>
      <c r="M156" s="111"/>
      <c r="N156" s="111" t="s">
        <v>20</v>
      </c>
      <c r="O156" s="111">
        <f>SUM(O161+O162+O157)</f>
        <v>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106" t="s">
        <v>131</v>
      </c>
      <c r="B157" s="108"/>
      <c r="C157" s="109">
        <v>150</v>
      </c>
      <c r="D157" s="110">
        <f t="shared" ref="D157:D169" si="17">SUM(B157*C157)</f>
        <v>0</v>
      </c>
      <c r="E157" s="12"/>
      <c r="F157" s="20"/>
      <c r="G157" s="21"/>
      <c r="H157" s="21"/>
      <c r="I157" s="22"/>
      <c r="J157" s="23"/>
      <c r="K157" s="23"/>
      <c r="L157" s="2"/>
      <c r="M157" s="111" t="s">
        <v>123</v>
      </c>
      <c r="N157" s="111"/>
      <c r="O157" s="111">
        <f>SUM(1100/27000)*N157</f>
        <v>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106" t="s">
        <v>184</v>
      </c>
      <c r="B158" s="108">
        <v>2</v>
      </c>
      <c r="C158" s="109">
        <v>52</v>
      </c>
      <c r="D158" s="110">
        <f t="shared" si="17"/>
        <v>104</v>
      </c>
      <c r="E158" s="12"/>
      <c r="F158" s="20"/>
      <c r="G158" s="21"/>
      <c r="H158" s="21"/>
      <c r="I158" s="22"/>
      <c r="J158" s="23"/>
      <c r="K158" s="23"/>
      <c r="L158" s="2"/>
      <c r="M158" s="111"/>
      <c r="N158" s="111"/>
      <c r="O158" s="11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106" t="s">
        <v>132</v>
      </c>
      <c r="B159" s="108">
        <v>2</v>
      </c>
      <c r="C159" s="109">
        <f>42.5*1.2</f>
        <v>51</v>
      </c>
      <c r="D159" s="110">
        <f t="shared" si="17"/>
        <v>102</v>
      </c>
      <c r="E159" s="12"/>
      <c r="F159" s="20"/>
      <c r="G159" s="21"/>
      <c r="H159" s="21"/>
      <c r="I159" s="22"/>
      <c r="J159" s="23"/>
      <c r="K159" s="23"/>
      <c r="L159" s="2"/>
      <c r="M159" s="111"/>
      <c r="N159" s="111"/>
      <c r="O159" s="11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106" t="s">
        <v>133</v>
      </c>
      <c r="B160" s="108">
        <v>2</v>
      </c>
      <c r="C160" s="109">
        <v>89</v>
      </c>
      <c r="D160" s="110">
        <f t="shared" si="17"/>
        <v>178</v>
      </c>
      <c r="E160" s="12"/>
      <c r="F160" s="20"/>
      <c r="G160" s="21"/>
      <c r="H160" s="21"/>
      <c r="I160" s="22"/>
      <c r="J160" s="23"/>
      <c r="K160" s="23"/>
      <c r="L160" s="2"/>
      <c r="M160" s="111"/>
      <c r="N160" s="111"/>
      <c r="O160" s="11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106" t="s">
        <v>134</v>
      </c>
      <c r="B161" s="108"/>
      <c r="C161" s="109">
        <v>95</v>
      </c>
      <c r="D161" s="110">
        <f t="shared" si="17"/>
        <v>0</v>
      </c>
      <c r="E161" s="12"/>
      <c r="F161" s="20"/>
      <c r="G161" s="21"/>
      <c r="H161" s="21"/>
      <c r="I161" s="22"/>
      <c r="J161" s="23"/>
      <c r="K161" s="23"/>
      <c r="L161" s="2"/>
      <c r="M161" s="111" t="s">
        <v>120</v>
      </c>
      <c r="N161" s="111"/>
      <c r="O161" s="111">
        <f>SUM(284/27000)*N161</f>
        <v>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106" t="s">
        <v>135</v>
      </c>
      <c r="B162" s="108"/>
      <c r="C162" s="107">
        <v>174.5</v>
      </c>
      <c r="D162" s="110">
        <f t="shared" si="17"/>
        <v>0</v>
      </c>
      <c r="E162" s="12"/>
      <c r="F162" s="20"/>
      <c r="G162" s="21"/>
      <c r="H162" s="21"/>
      <c r="I162" s="22"/>
      <c r="J162" s="23"/>
      <c r="K162" s="23"/>
      <c r="L162" s="2"/>
      <c r="M162" s="111" t="s">
        <v>121</v>
      </c>
      <c r="N162" s="111"/>
      <c r="O162" s="111">
        <f>SUM(568/27000)*N162</f>
        <v>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106" t="s">
        <v>136</v>
      </c>
      <c r="B163" s="108">
        <v>1</v>
      </c>
      <c r="C163" s="107">
        <v>125</v>
      </c>
      <c r="D163" s="110">
        <f t="shared" si="17"/>
        <v>125</v>
      </c>
      <c r="E163" s="12"/>
      <c r="F163" s="20"/>
      <c r="G163" s="21"/>
      <c r="H163" s="21"/>
      <c r="I163" s="22"/>
      <c r="J163" s="23"/>
      <c r="K163" s="2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106" t="s">
        <v>137</v>
      </c>
      <c r="B164" s="108">
        <v>0.3</v>
      </c>
      <c r="C164" s="109">
        <f>36*1.2</f>
        <v>43.199999999999996</v>
      </c>
      <c r="D164" s="110">
        <f t="shared" si="17"/>
        <v>12.959999999999999</v>
      </c>
      <c r="E164" s="12"/>
      <c r="F164" s="20"/>
      <c r="G164" s="21"/>
      <c r="H164" s="21"/>
      <c r="I164" s="22"/>
      <c r="J164" s="23"/>
      <c r="K164" s="2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106" t="s">
        <v>138</v>
      </c>
      <c r="B165" s="108">
        <v>0.4</v>
      </c>
      <c r="C165" s="109">
        <v>96</v>
      </c>
      <c r="D165" s="110">
        <f t="shared" si="17"/>
        <v>38.400000000000006</v>
      </c>
      <c r="E165" s="113"/>
      <c r="F165" s="20"/>
      <c r="G165" s="21"/>
      <c r="H165" s="21"/>
      <c r="I165" s="22"/>
      <c r="J165" s="23"/>
      <c r="K165" s="2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106" t="s">
        <v>139</v>
      </c>
      <c r="B166" s="108"/>
      <c r="C166" s="107">
        <v>140</v>
      </c>
      <c r="D166" s="110">
        <f t="shared" si="17"/>
        <v>0</v>
      </c>
      <c r="E166" s="113"/>
      <c r="F166" s="20"/>
      <c r="G166" s="21"/>
      <c r="H166" s="21"/>
      <c r="I166" s="22"/>
      <c r="J166" s="23"/>
      <c r="K166" s="2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106" t="s">
        <v>140</v>
      </c>
      <c r="B167" s="108">
        <v>5.2</v>
      </c>
      <c r="C167" s="107">
        <v>100</v>
      </c>
      <c r="D167" s="110">
        <f t="shared" si="17"/>
        <v>520</v>
      </c>
      <c r="E167" s="113"/>
      <c r="F167" s="20"/>
      <c r="G167" s="21"/>
      <c r="H167" s="21"/>
      <c r="I167" s="22"/>
      <c r="J167" s="23"/>
      <c r="K167" s="2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106" t="s">
        <v>141</v>
      </c>
      <c r="B168" s="108">
        <v>1.25</v>
      </c>
      <c r="C168" s="109">
        <v>79</v>
      </c>
      <c r="D168" s="110">
        <f t="shared" si="17"/>
        <v>98.75</v>
      </c>
      <c r="E168" s="113"/>
      <c r="F168" s="20"/>
      <c r="G168" s="21"/>
      <c r="H168" s="21"/>
      <c r="I168" s="22"/>
      <c r="J168" s="23"/>
      <c r="K168" s="2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114" t="s">
        <v>142</v>
      </c>
      <c r="B169" s="108">
        <v>1.1000000000000001</v>
      </c>
      <c r="C169" s="109">
        <f>65.44*1.2</f>
        <v>78.527999999999992</v>
      </c>
      <c r="D169" s="110">
        <f t="shared" si="17"/>
        <v>86.380799999999994</v>
      </c>
      <c r="E169" s="113"/>
      <c r="F169" s="20"/>
      <c r="G169" s="21"/>
      <c r="H169" s="21"/>
      <c r="I169" s="22"/>
      <c r="J169" s="23"/>
      <c r="K169" s="2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25"/>
      <c r="B170" s="26"/>
      <c r="C170" s="26"/>
      <c r="D170" s="27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115" t="s">
        <v>143</v>
      </c>
      <c r="B171" s="116"/>
      <c r="C171" s="116"/>
      <c r="D171" s="11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115" t="s">
        <v>144</v>
      </c>
      <c r="B172" s="117">
        <v>1.3</v>
      </c>
      <c r="C172" s="116">
        <v>49.64</v>
      </c>
      <c r="D172" s="118">
        <f t="shared" ref="D172:D175" si="18">SUM(B172*C172)</f>
        <v>64.531999999999996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115" t="s">
        <v>145</v>
      </c>
      <c r="B173" s="117">
        <v>1</v>
      </c>
      <c r="C173" s="116">
        <v>49.64</v>
      </c>
      <c r="D173" s="118">
        <f t="shared" si="18"/>
        <v>49.64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115" t="s">
        <v>146</v>
      </c>
      <c r="B174" s="117">
        <v>1.9</v>
      </c>
      <c r="C174" s="116">
        <v>49.64</v>
      </c>
      <c r="D174" s="118">
        <f t="shared" si="18"/>
        <v>94.316000000000003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115" t="s">
        <v>147</v>
      </c>
      <c r="B175" s="117">
        <v>2.85</v>
      </c>
      <c r="C175" s="116">
        <v>49.64</v>
      </c>
      <c r="D175" s="118">
        <f t="shared" si="18"/>
        <v>141.47400000000002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2"/>
      <c r="B176" s="119"/>
      <c r="C176" s="119"/>
      <c r="D176" s="2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120" t="s">
        <v>148</v>
      </c>
      <c r="B177" s="121"/>
      <c r="C177" s="121"/>
      <c r="D177" s="12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122" t="s">
        <v>149</v>
      </c>
      <c r="B178" s="123">
        <v>45</v>
      </c>
      <c r="C178" s="123">
        <v>0.4</v>
      </c>
      <c r="D178" s="124">
        <f t="shared" ref="D178:D183" si="19">SUM(B178*C178)</f>
        <v>18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122" t="s">
        <v>150</v>
      </c>
      <c r="B179" s="123">
        <v>70</v>
      </c>
      <c r="C179" s="123">
        <v>0.4</v>
      </c>
      <c r="D179" s="124">
        <f t="shared" si="19"/>
        <v>28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122" t="s">
        <v>151</v>
      </c>
      <c r="B180" s="123">
        <v>25</v>
      </c>
      <c r="C180" s="123">
        <v>0.45</v>
      </c>
      <c r="D180" s="124">
        <f t="shared" si="19"/>
        <v>11.25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122" t="s">
        <v>152</v>
      </c>
      <c r="B181" s="123">
        <v>16</v>
      </c>
      <c r="C181" s="123">
        <v>0.45</v>
      </c>
      <c r="D181" s="124">
        <f t="shared" si="19"/>
        <v>7.2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122" t="s">
        <v>153</v>
      </c>
      <c r="B182" s="123">
        <v>9</v>
      </c>
      <c r="C182" s="123">
        <v>0.45</v>
      </c>
      <c r="D182" s="124">
        <f t="shared" si="19"/>
        <v>4.05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125" t="s">
        <v>154</v>
      </c>
      <c r="B183" s="126">
        <v>14</v>
      </c>
      <c r="C183" s="127">
        <f>12.95/12</f>
        <v>1.0791666666666666</v>
      </c>
      <c r="D183" s="124">
        <f t="shared" si="19"/>
        <v>15.108333333333333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2" t="s">
        <v>155</v>
      </c>
      <c r="B185" s="2"/>
      <c r="C185" s="2"/>
      <c r="D185" s="128">
        <f>SUM(D6:D183)</f>
        <v>6653.0970333333335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</sheetData>
  <mergeCells count="4">
    <mergeCell ref="M4:O4"/>
    <mergeCell ref="M79:O79"/>
    <mergeCell ref="M141:O141"/>
    <mergeCell ref="M153:O153"/>
  </mergeCells>
  <printOptions horizontalCentered="1" gridLines="1"/>
  <pageMargins left="0.7" right="0.7" top="0.75" bottom="0.75" header="0.3" footer="0.3"/>
  <pageSetup paperSize="9" scale="36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cp:lastPrinted>2025-09-28T13:27:30Z</cp:lastPrinted>
  <dcterms:created xsi:type="dcterms:W3CDTF">2025-09-28T12:58:23Z</dcterms:created>
  <dcterms:modified xsi:type="dcterms:W3CDTF">2025-09-29T12:16:48Z</dcterms:modified>
</cp:coreProperties>
</file>