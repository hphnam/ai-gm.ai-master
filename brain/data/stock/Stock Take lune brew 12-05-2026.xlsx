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YfURdnbzs2I3kgXVHciTE/4soiyAazL3x2evIwSc8U="/>
    </ext>
  </extLst>
</workbook>
</file>

<file path=xl/sharedStrings.xml><?xml version="1.0" encoding="utf-8"?>
<sst xmlns="http://schemas.openxmlformats.org/spreadsheetml/2006/main" count="222" uniqueCount="215">
  <si>
    <t>Stock take</t>
  </si>
  <si>
    <t>Ingredients</t>
  </si>
  <si>
    <t>Hops</t>
  </si>
  <si>
    <t>in stock unit/kg</t>
  </si>
  <si>
    <t>Cost/unit/kg</t>
  </si>
  <si>
    <t>Total</t>
  </si>
  <si>
    <t>Fuggle FP</t>
  </si>
  <si>
    <t>Citra FP</t>
  </si>
  <si>
    <t>Brewers Gold FP</t>
  </si>
  <si>
    <t>Bobek FP</t>
  </si>
  <si>
    <t>Goldings FP</t>
  </si>
  <si>
    <t>Admiral FP</t>
  </si>
  <si>
    <t>Northdown FP</t>
  </si>
  <si>
    <t>Target FP</t>
  </si>
  <si>
    <t>Cascade FP</t>
  </si>
  <si>
    <t>Simcoe FP</t>
  </si>
  <si>
    <t>Mosaic FP</t>
  </si>
  <si>
    <t>Nelson Sauvin FP</t>
  </si>
  <si>
    <t>Amarillo FP</t>
  </si>
  <si>
    <t>Centennial FP</t>
  </si>
  <si>
    <t>Junga FP</t>
  </si>
  <si>
    <t>Mystic FP</t>
  </si>
  <si>
    <t>Magnum FP</t>
  </si>
  <si>
    <t>Olicana FP</t>
  </si>
  <si>
    <t>Godiva</t>
  </si>
  <si>
    <t>Tetnang</t>
  </si>
  <si>
    <t>Emperor</t>
  </si>
  <si>
    <t>Mittelfruh FP</t>
  </si>
  <si>
    <t>Sorachi Ace FP</t>
  </si>
  <si>
    <t>Sterling FP</t>
  </si>
  <si>
    <t>Talus T90</t>
  </si>
  <si>
    <t>Sabro Cryo</t>
  </si>
  <si>
    <t>Amarillo BBC Pellets</t>
  </si>
  <si>
    <t>Citra BBC Pellets</t>
  </si>
  <si>
    <t>Centennial BBC Pellets</t>
  </si>
  <si>
    <t>Mosaic BBC Pellets</t>
  </si>
  <si>
    <t>Nelson Sauvin T90</t>
  </si>
  <si>
    <t>Citra Incognito</t>
  </si>
  <si>
    <t>Malt</t>
  </si>
  <si>
    <t>Extra Pale</t>
  </si>
  <si>
    <t>Golden Promise</t>
  </si>
  <si>
    <t>Torrified Wheat</t>
  </si>
  <si>
    <t>Amber malt</t>
  </si>
  <si>
    <t>Lager malt</t>
  </si>
  <si>
    <t>Black Malt</t>
  </si>
  <si>
    <t>Crystal Light</t>
  </si>
  <si>
    <t>Dextrin malt</t>
  </si>
  <si>
    <t>Caramalt</t>
  </si>
  <si>
    <t>Caraglow</t>
  </si>
  <si>
    <t>P E Caramalt</t>
  </si>
  <si>
    <t>Crystal medium</t>
  </si>
  <si>
    <t>Crystal T50</t>
  </si>
  <si>
    <t>Jumbo oats</t>
  </si>
  <si>
    <t>Flaked wheat</t>
  </si>
  <si>
    <t>Extra Dark Crystal</t>
  </si>
  <si>
    <t>GNO</t>
  </si>
  <si>
    <t>Chocolate</t>
  </si>
  <si>
    <t>Roast Barley</t>
  </si>
  <si>
    <t>Oat Malt</t>
  </si>
  <si>
    <t>Wheat malt</t>
  </si>
  <si>
    <t>Flaked Barley</t>
  </si>
  <si>
    <t>Vienna</t>
  </si>
  <si>
    <t>Chit</t>
  </si>
  <si>
    <t>Munich</t>
  </si>
  <si>
    <t>Imperial</t>
  </si>
  <si>
    <t>Salts</t>
  </si>
  <si>
    <t>Gypsum</t>
  </si>
  <si>
    <t>Flake</t>
  </si>
  <si>
    <t>Salt</t>
  </si>
  <si>
    <t>Dextrose suger</t>
  </si>
  <si>
    <t>Sodium Bicarb</t>
  </si>
  <si>
    <t>Epsom salt</t>
  </si>
  <si>
    <t>Lactose</t>
  </si>
  <si>
    <t>Finings</t>
  </si>
  <si>
    <t>Protabs</t>
  </si>
  <si>
    <t>Finings adjunct</t>
  </si>
  <si>
    <t>Super F</t>
  </si>
  <si>
    <t>Clarex</t>
  </si>
  <si>
    <t>Shives &amp; keystones</t>
  </si>
  <si>
    <t>Shives</t>
  </si>
  <si>
    <t>Keystones</t>
  </si>
  <si>
    <t>Detergents</t>
  </si>
  <si>
    <t>Caustak 30</t>
  </si>
  <si>
    <t>Chlorsan</t>
  </si>
  <si>
    <t>Perbac</t>
  </si>
  <si>
    <t>Nipac B</t>
  </si>
  <si>
    <t>Chlorafoam pluss</t>
  </si>
  <si>
    <t>Brewing aids</t>
  </si>
  <si>
    <t>Antifoam</t>
  </si>
  <si>
    <t>Ascorbic acid</t>
  </si>
  <si>
    <t>Deptil</t>
  </si>
  <si>
    <t>AMS</t>
  </si>
  <si>
    <t>Lactic acid</t>
  </si>
  <si>
    <t>PGA</t>
  </si>
  <si>
    <t>Maltodextrin</t>
  </si>
  <si>
    <t>Yeast</t>
  </si>
  <si>
    <t>Saturated</t>
  </si>
  <si>
    <t>Bond yeast</t>
  </si>
  <si>
    <t>Apres Ski</t>
  </si>
  <si>
    <t>LAX</t>
  </si>
  <si>
    <t>Fountainbridge</t>
  </si>
  <si>
    <t>Empty Ecasks &amp; kegs</t>
  </si>
  <si>
    <t>E-Cask</t>
  </si>
  <si>
    <t>Poly Keg</t>
  </si>
  <si>
    <t>E-Keg 50L</t>
  </si>
  <si>
    <t>E-Keg 30L</t>
  </si>
  <si>
    <t>Total ingredients cost</t>
  </si>
  <si>
    <t xml:space="preserve">raw material </t>
  </si>
  <si>
    <t>In Tank Stock</t>
  </si>
  <si>
    <t xml:space="preserve"> </t>
  </si>
  <si>
    <t>utility cost</t>
  </si>
  <si>
    <t>Each Brew</t>
  </si>
  <si>
    <t>Bitter</t>
  </si>
  <si>
    <t>Lune Lager</t>
  </si>
  <si>
    <t>Flow - Sea salt + Lime</t>
  </si>
  <si>
    <t>Caravan of love</t>
  </si>
  <si>
    <t>Session IPA</t>
  </si>
  <si>
    <t>Session IPA 4800L</t>
  </si>
  <si>
    <t>Pale</t>
  </si>
  <si>
    <t>Pale 4800L</t>
  </si>
  <si>
    <t>Lune Valley Gold</t>
  </si>
  <si>
    <t>Blonde - Origin</t>
  </si>
  <si>
    <t>Stout</t>
  </si>
  <si>
    <t>west coast</t>
  </si>
  <si>
    <t>Dew</t>
  </si>
  <si>
    <t>DROP</t>
  </si>
  <si>
    <t>Centennial Summer</t>
  </si>
  <si>
    <t>Elephants</t>
  </si>
  <si>
    <t>Bine &amp; Dandy</t>
  </si>
  <si>
    <t>Total In Tank Cost</t>
  </si>
  <si>
    <t>Warehouse stock</t>
  </si>
  <si>
    <t>9g</t>
  </si>
  <si>
    <t>Lune Valley Gold Ecask</t>
  </si>
  <si>
    <t>Origin</t>
  </si>
  <si>
    <t>when they give me warehouse stock add values from breww.</t>
  </si>
  <si>
    <t>Origin E-Cask</t>
  </si>
  <si>
    <t>Session IPA Ecask</t>
  </si>
  <si>
    <t>Pineapple IPA Ecask</t>
  </si>
  <si>
    <t>Pale Ecask</t>
  </si>
  <si>
    <t>Bitter Ecask</t>
  </si>
  <si>
    <t>Summer sessions Ecask</t>
  </si>
  <si>
    <t>Stout Ecask</t>
  </si>
  <si>
    <t>Caked</t>
  </si>
  <si>
    <t>Caked Ecask</t>
  </si>
  <si>
    <t>Coffee choc</t>
  </si>
  <si>
    <t>Coffee choc Ecask</t>
  </si>
  <si>
    <t>Strawberry Blonde Ecask</t>
  </si>
  <si>
    <t>Blonde</t>
  </si>
  <si>
    <t>Blonde ecask</t>
  </si>
  <si>
    <t>Mosaic Madness E cask</t>
  </si>
  <si>
    <t>Citra Sonic</t>
  </si>
  <si>
    <t>Citra Sonic Ecask</t>
  </si>
  <si>
    <t>Amarillo Armageddon</t>
  </si>
  <si>
    <t>Amarillo Armageddon Ecask</t>
  </si>
  <si>
    <t>Caravan of Love</t>
  </si>
  <si>
    <t>Centennial Summer Ecask</t>
  </si>
  <si>
    <t>Swoop</t>
  </si>
  <si>
    <t>Mild</t>
  </si>
  <si>
    <t>Mild E-Cask</t>
  </si>
  <si>
    <t>Bird Man - Beerhouse Bitter E-Cask</t>
  </si>
  <si>
    <t>birdman LB</t>
  </si>
  <si>
    <t>spinning jenny EC</t>
  </si>
  <si>
    <t>spinning jenny LB</t>
  </si>
  <si>
    <t>bavarian lager keg</t>
  </si>
  <si>
    <t>Keg</t>
  </si>
  <si>
    <t>Session IPA – Polykeg</t>
  </si>
  <si>
    <t>E-Keg</t>
  </si>
  <si>
    <t>Stout – Keykeg</t>
  </si>
  <si>
    <t>Peach Pale - 50L</t>
  </si>
  <si>
    <t>Peach Pale - 30L</t>
  </si>
  <si>
    <t>Sleeping elephants - 30L</t>
  </si>
  <si>
    <t>Lager 50L</t>
  </si>
  <si>
    <t>Lager 30L</t>
  </si>
  <si>
    <t>Sea Salt &amp; line 50L</t>
  </si>
  <si>
    <t>Sea Salt &amp; line 30L</t>
  </si>
  <si>
    <t>Pale 30L Polykeg</t>
  </si>
  <si>
    <t>Pale 30L Ekeg</t>
  </si>
  <si>
    <t>Broken Footbridge 30L Polykeg</t>
  </si>
  <si>
    <t>DEW 30L  Polykeg</t>
  </si>
  <si>
    <t>DEW 30L Ekeg</t>
  </si>
  <si>
    <t>DROP 30L Polykeg</t>
  </si>
  <si>
    <t>DROP 30L Ekeg</t>
  </si>
  <si>
    <t>Swoop 30L E-Keg</t>
  </si>
  <si>
    <t>Bine &amp; Dandy 30L E-Keg</t>
  </si>
  <si>
    <t>Stampede - North West IPA</t>
  </si>
  <si>
    <t>Elliot Warehouse stock</t>
  </si>
  <si>
    <t>Total Cask &amp; Keg stock</t>
  </si>
  <si>
    <t>Cans</t>
  </si>
  <si>
    <t>Pale Ale x 12 Pack</t>
  </si>
  <si>
    <t>Caravan Of Love x 12 Pack</t>
  </si>
  <si>
    <t>Total Can Stock</t>
  </si>
  <si>
    <t>Other products in stock</t>
  </si>
  <si>
    <t>Bird of Pray 20L</t>
  </si>
  <si>
    <t>Juicy Lucy 20L</t>
  </si>
  <si>
    <t>Dubbel 20L</t>
  </si>
  <si>
    <t>Dubbel Bottle</t>
  </si>
  <si>
    <t>Blonde 20L</t>
  </si>
  <si>
    <t>Blonde Bottle</t>
  </si>
  <si>
    <t>Tripel Bottle</t>
  </si>
  <si>
    <t>Quadrupel Bottle</t>
  </si>
  <si>
    <t>Fruitage 30L</t>
  </si>
  <si>
    <t>Fruitage Bottle</t>
  </si>
  <si>
    <t>Fruitage Can</t>
  </si>
  <si>
    <t>Baveria 50L</t>
  </si>
  <si>
    <t>Grand cru</t>
  </si>
  <si>
    <t>Classic</t>
  </si>
  <si>
    <t>Wrath Can</t>
  </si>
  <si>
    <t>Shimmy Can</t>
  </si>
  <si>
    <t>Pilot Can</t>
  </si>
  <si>
    <t>Mess with the honk Can</t>
  </si>
  <si>
    <t>Sonic Tatan 20L BIB</t>
  </si>
  <si>
    <t>Glow 20L BIB</t>
  </si>
  <si>
    <t>Mothership 20L BIB</t>
  </si>
  <si>
    <t>Total Other Products in stock</t>
  </si>
  <si>
    <t>Overall Cost in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</si>
</sst>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809]General"/>
    <numFmt numFmtId="165" formatCode="&quot;£&quot;#,##0.00"/>
    <numFmt numFmtId="166" formatCode="[$-809]dd/mm/yyyy"/>
  </numFmts>
  <fonts count="12">
    <font>
      <sz val="11.0"/>
      <color theme="1"/>
      <name val="Arial"/>
      <scheme val="minor"/>
    </font>
    <font>
      <sz val="11.0"/>
      <color rgb="FF000000"/>
      <name val="Aptos Narrow"/>
    </font>
    <font>
      <sz val="12.0"/>
      <color rgb="FF000000"/>
      <name val="Aptos"/>
    </font>
    <font>
      <b/>
      <sz val="12.0"/>
      <color rgb="FF000000"/>
      <name val="Aptos"/>
    </font>
    <font>
      <i/>
      <sz val="11.0"/>
      <color rgb="FF000000"/>
      <name val="Aptos Narrow"/>
    </font>
    <font>
      <sz val="11.0"/>
      <color rgb="FF000000"/>
      <name val="Aptos"/>
    </font>
    <font>
      <b/>
      <sz val="11.0"/>
      <color rgb="FF000000"/>
      <name val="Aptos"/>
    </font>
    <font>
      <b/>
      <sz val="11.0"/>
      <color rgb="FF000000"/>
      <name val="Aptos Narrow"/>
    </font>
    <font>
      <sz val="11.0"/>
      <color rgb="FF000000"/>
      <name val="Arial"/>
    </font>
    <font>
      <sz val="12.0"/>
      <color rgb="FF212121"/>
      <name val="Aptos"/>
    </font>
    <font>
      <sz val="12.0"/>
      <color rgb="FF212121"/>
      <name val="Arial"/>
    </font>
    <font>
      <color rgb="FF212529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B4E5A2"/>
        <bgColor rgb="FFB4E5A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164" xfId="0" applyAlignment="1" applyFont="1" applyNumberFormat="1">
      <alignment vertical="center"/>
    </xf>
    <xf borderId="0" fillId="0" fontId="1" numFmtId="166" xfId="0" applyFont="1" applyNumberFormat="1"/>
    <xf borderId="0" fillId="0" fontId="3" numFmtId="164" xfId="0" applyAlignment="1" applyFont="1" applyNumberFormat="1">
      <alignment vertical="center"/>
    </xf>
    <xf borderId="0" fillId="0" fontId="4" numFmtId="165" xfId="0" applyFont="1" applyNumberFormat="1"/>
    <xf borderId="0" fillId="0" fontId="5" numFmtId="164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1" fillId="2" fontId="7" numFmtId="165" xfId="0" applyBorder="1" applyFill="1" applyFont="1" applyNumberFormat="1"/>
    <xf borderId="0" fillId="0" fontId="8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 vertical="center"/>
    </xf>
    <xf borderId="0" fillId="0" fontId="9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3" fontId="11" numFmtId="164" xfId="0" applyAlignment="1" applyFill="1" applyFont="1" applyNumberFormat="1">
      <alignment horizontal="left" readingOrder="0"/>
    </xf>
    <xf borderId="1" fillId="4" fontId="2" numFmtId="164" xfId="0" applyAlignment="1" applyBorder="1" applyFill="1" applyFont="1" applyNumberFormat="1">
      <alignment vertical="center"/>
    </xf>
    <xf borderId="1" fillId="4" fontId="1" numFmtId="164" xfId="0" applyBorder="1" applyFont="1" applyNumberFormat="1"/>
    <xf borderId="1" fillId="4" fontId="1" numFmtId="165" xfId="0" applyBorder="1" applyFont="1" applyNumberFormat="1"/>
    <xf borderId="0" fillId="0" fontId="7" numFmtId="165" xfId="0" applyFont="1" applyNumberFormat="1"/>
    <xf borderId="1" fillId="5" fontId="7" numFmtId="165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1.0"/>
    <col customWidth="1" min="3" max="3" width="9.0"/>
    <col customWidth="1" min="4" max="4" width="11.0"/>
    <col customWidth="1" min="5" max="6" width="7.38"/>
    <col customWidth="1" min="7" max="7" width="11.38"/>
    <col customWidth="1" min="8" max="26" width="8.63"/>
  </cols>
  <sheetData>
    <row r="1" ht="13.5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3" t="s">
        <v>0</v>
      </c>
      <c r="B2" s="4">
        <v>46154.0</v>
      </c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3"/>
      <c r="B3" s="4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5" t="s">
        <v>1</v>
      </c>
      <c r="B4" s="1"/>
      <c r="C4" s="2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/>
      <c r="B5" s="1"/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5" t="s">
        <v>2</v>
      </c>
      <c r="B6" s="1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/>
      <c r="B7" s="1" t="s">
        <v>3</v>
      </c>
      <c r="C7" s="2" t="s">
        <v>4</v>
      </c>
      <c r="D7" s="2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 t="s">
        <v>6</v>
      </c>
      <c r="B8" s="1">
        <v>0.0</v>
      </c>
      <c r="C8" s="2">
        <v>14.56</v>
      </c>
      <c r="D8" s="2">
        <f t="shared" ref="D8:D110" si="1">B8*C8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 t="s">
        <v>7</v>
      </c>
      <c r="B9" s="1">
        <v>0.0</v>
      </c>
      <c r="C9" s="2">
        <v>27.31</v>
      </c>
      <c r="D9" s="2">
        <f t="shared" si="1"/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 t="s">
        <v>8</v>
      </c>
      <c r="B10" s="1">
        <v>0.0</v>
      </c>
      <c r="C10" s="2">
        <v>11.76</v>
      </c>
      <c r="D10" s="2">
        <f t="shared" si="1"/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 t="s">
        <v>9</v>
      </c>
      <c r="B11" s="1">
        <v>22.5</v>
      </c>
      <c r="C11" s="2">
        <v>9.35</v>
      </c>
      <c r="D11" s="2">
        <f t="shared" si="1"/>
        <v>210.375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 t="s">
        <v>10</v>
      </c>
      <c r="B12" s="1">
        <v>5.0</v>
      </c>
      <c r="C12" s="2">
        <v>14.96</v>
      </c>
      <c r="D12" s="2">
        <f t="shared" si="1"/>
        <v>74.8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 t="s">
        <v>11</v>
      </c>
      <c r="B13" s="1">
        <v>2.5</v>
      </c>
      <c r="C13" s="2">
        <v>15.31</v>
      </c>
      <c r="D13" s="2">
        <f t="shared" si="1"/>
        <v>38.275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 t="s">
        <v>12</v>
      </c>
      <c r="B14" s="1">
        <v>7.5</v>
      </c>
      <c r="C14" s="2">
        <v>12.11</v>
      </c>
      <c r="D14" s="2">
        <f t="shared" si="1"/>
        <v>90.825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3" t="s">
        <v>13</v>
      </c>
      <c r="B15" s="1">
        <v>0.0</v>
      </c>
      <c r="C15" s="2">
        <v>12.96</v>
      </c>
      <c r="D15" s="2">
        <f t="shared" si="1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3" t="s">
        <v>14</v>
      </c>
      <c r="B16" s="1">
        <v>15.0</v>
      </c>
      <c r="C16" s="6">
        <v>16.68</v>
      </c>
      <c r="D16" s="2">
        <f t="shared" si="1"/>
        <v>250.2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3" t="s">
        <v>15</v>
      </c>
      <c r="B17" s="1">
        <v>5.0</v>
      </c>
      <c r="C17" s="6">
        <v>26.42</v>
      </c>
      <c r="D17" s="2">
        <f t="shared" si="1"/>
        <v>132.1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3" t="s">
        <v>16</v>
      </c>
      <c r="B18" s="1">
        <v>0.0</v>
      </c>
      <c r="C18" s="2">
        <v>26.41</v>
      </c>
      <c r="D18" s="2">
        <f t="shared" si="1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3" t="s">
        <v>17</v>
      </c>
      <c r="B19" s="1">
        <v>0.0</v>
      </c>
      <c r="C19" s="2">
        <v>25.18</v>
      </c>
      <c r="D19" s="2">
        <f t="shared" si="1"/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3" t="s">
        <v>18</v>
      </c>
      <c r="B20" s="1">
        <v>5.0</v>
      </c>
      <c r="C20" s="2">
        <v>15.63</v>
      </c>
      <c r="D20" s="2">
        <f t="shared" si="1"/>
        <v>78.15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3" t="s">
        <v>19</v>
      </c>
      <c r="B21" s="1">
        <v>0.0</v>
      </c>
      <c r="C21" s="2">
        <v>19.22</v>
      </c>
      <c r="D21" s="2">
        <f t="shared" si="1"/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3" t="s">
        <v>20</v>
      </c>
      <c r="B22" s="1">
        <v>5.0</v>
      </c>
      <c r="C22" s="6">
        <v>11.96</v>
      </c>
      <c r="D22" s="2">
        <f t="shared" si="1"/>
        <v>59.8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3" t="s">
        <v>21</v>
      </c>
      <c r="B23" s="1">
        <v>0.0</v>
      </c>
      <c r="C23" s="2">
        <v>19.52</v>
      </c>
      <c r="D23" s="2">
        <f t="shared" si="1"/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3" t="s">
        <v>22</v>
      </c>
      <c r="B24" s="1">
        <v>4.25</v>
      </c>
      <c r="C24" s="6">
        <v>13.3</v>
      </c>
      <c r="D24" s="2">
        <f t="shared" si="1"/>
        <v>56.525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3" t="s">
        <v>23</v>
      </c>
      <c r="B25" s="1">
        <v>5.0</v>
      </c>
      <c r="C25" s="2">
        <v>16.7</v>
      </c>
      <c r="D25" s="2">
        <f t="shared" si="1"/>
        <v>83.5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3" t="s">
        <v>24</v>
      </c>
      <c r="B26" s="1">
        <v>5.0</v>
      </c>
      <c r="C26" s="2">
        <v>18.66</v>
      </c>
      <c r="D26" s="2">
        <f t="shared" si="1"/>
        <v>93.3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3" t="s">
        <v>25</v>
      </c>
      <c r="B27" s="1">
        <v>0.0</v>
      </c>
      <c r="C27" s="2">
        <v>16.0</v>
      </c>
      <c r="D27" s="2">
        <f t="shared" si="1"/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3" t="s">
        <v>26</v>
      </c>
      <c r="B28" s="1">
        <v>2.5</v>
      </c>
      <c r="C28" s="2">
        <v>18.11</v>
      </c>
      <c r="D28" s="2">
        <f t="shared" si="1"/>
        <v>45.275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3" t="s">
        <v>27</v>
      </c>
      <c r="B29" s="1">
        <v>2.5</v>
      </c>
      <c r="C29" s="2">
        <v>15.0</v>
      </c>
      <c r="D29" s="2">
        <f t="shared" si="1"/>
        <v>37.5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3" t="s">
        <v>28</v>
      </c>
      <c r="B30" s="1">
        <v>5.0</v>
      </c>
      <c r="C30" s="2">
        <v>26.15</v>
      </c>
      <c r="D30" s="2">
        <f t="shared" si="1"/>
        <v>130.75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3" t="s">
        <v>29</v>
      </c>
      <c r="B31" s="1">
        <v>2.5</v>
      </c>
      <c r="C31" s="2">
        <v>14.71</v>
      </c>
      <c r="D31" s="2">
        <f t="shared" si="1"/>
        <v>36.775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3" t="s">
        <v>30</v>
      </c>
      <c r="B32" s="1">
        <v>5.0</v>
      </c>
      <c r="C32" s="2">
        <v>19.64</v>
      </c>
      <c r="D32" s="2">
        <f t="shared" si="1"/>
        <v>98.2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" t="s">
        <v>31</v>
      </c>
      <c r="B33" s="1">
        <v>5.0</v>
      </c>
      <c r="C33" s="2">
        <v>44.37</v>
      </c>
      <c r="D33" s="2">
        <f t="shared" si="1"/>
        <v>221.85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3" t="s">
        <v>32</v>
      </c>
      <c r="B34" s="1">
        <v>0.0</v>
      </c>
      <c r="C34" s="2">
        <v>26.47</v>
      </c>
      <c r="D34" s="2">
        <f t="shared" si="1"/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3" t="s">
        <v>33</v>
      </c>
      <c r="B35" s="1">
        <v>0.0</v>
      </c>
      <c r="C35" s="2">
        <v>27.31</v>
      </c>
      <c r="D35" s="2">
        <f t="shared" si="1"/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3" t="s">
        <v>34</v>
      </c>
      <c r="B36" s="1">
        <v>0.0</v>
      </c>
      <c r="C36" s="2">
        <v>21.23</v>
      </c>
      <c r="D36" s="2">
        <f t="shared" si="1"/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3" t="s">
        <v>35</v>
      </c>
      <c r="B37" s="1">
        <v>0.0</v>
      </c>
      <c r="C37" s="2">
        <v>26.41</v>
      </c>
      <c r="D37" s="2">
        <f t="shared" si="1"/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3" t="s">
        <v>36</v>
      </c>
      <c r="B38" s="1">
        <v>0.0</v>
      </c>
      <c r="C38" s="2">
        <v>20.39</v>
      </c>
      <c r="D38" s="2">
        <f t="shared" si="1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3" t="s">
        <v>37</v>
      </c>
      <c r="B39" s="1">
        <v>0.0</v>
      </c>
      <c r="C39" s="2">
        <v>231.29</v>
      </c>
      <c r="D39" s="2">
        <f t="shared" si="1"/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3"/>
      <c r="B40" s="1"/>
      <c r="C40" s="2"/>
      <c r="D40" s="2">
        <f t="shared" si="1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5" t="s">
        <v>38</v>
      </c>
      <c r="B41" s="1"/>
      <c r="C41" s="2"/>
      <c r="D41" s="2">
        <f t="shared" si="1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3"/>
      <c r="B42" s="1"/>
      <c r="C42" s="2"/>
      <c r="D42" s="2">
        <f t="shared" si="1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7" t="s">
        <v>39</v>
      </c>
      <c r="B43" s="1">
        <v>1487.5</v>
      </c>
      <c r="C43" s="2">
        <v>0.67</v>
      </c>
      <c r="D43" s="2">
        <f t="shared" si="1"/>
        <v>996.625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7" t="s">
        <v>40</v>
      </c>
      <c r="B44" s="1">
        <v>375.0</v>
      </c>
      <c r="C44" s="2">
        <v>0.84</v>
      </c>
      <c r="D44" s="2">
        <f t="shared" si="1"/>
        <v>315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7" t="s">
        <v>41</v>
      </c>
      <c r="B45" s="1">
        <v>100.0</v>
      </c>
      <c r="C45" s="2">
        <v>0.6</v>
      </c>
      <c r="D45" s="2">
        <f t="shared" si="1"/>
        <v>60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7" t="s">
        <v>42</v>
      </c>
      <c r="B46" s="1">
        <v>0.0</v>
      </c>
      <c r="C46" s="2">
        <v>1.0</v>
      </c>
      <c r="D46" s="2">
        <f t="shared" si="1"/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7" t="s">
        <v>43</v>
      </c>
      <c r="B47" s="1">
        <v>350.0</v>
      </c>
      <c r="C47" s="2">
        <v>0.67</v>
      </c>
      <c r="D47" s="2">
        <f t="shared" si="1"/>
        <v>234.5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7" t="s">
        <v>44</v>
      </c>
      <c r="B48" s="1">
        <v>12.5</v>
      </c>
      <c r="C48" s="2">
        <v>1.061</v>
      </c>
      <c r="D48" s="2">
        <f t="shared" si="1"/>
        <v>13.2625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7" t="s">
        <v>45</v>
      </c>
      <c r="B49" s="1">
        <v>0.0</v>
      </c>
      <c r="C49" s="2">
        <v>0.886</v>
      </c>
      <c r="D49" s="2">
        <f t="shared" si="1"/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3" t="s">
        <v>46</v>
      </c>
      <c r="B50" s="1">
        <v>37.5</v>
      </c>
      <c r="C50" s="2">
        <v>0.74</v>
      </c>
      <c r="D50" s="2">
        <f t="shared" si="1"/>
        <v>27.75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3" t="s">
        <v>47</v>
      </c>
      <c r="B51" s="1">
        <v>25.0</v>
      </c>
      <c r="C51" s="2">
        <v>0.8</v>
      </c>
      <c r="D51" s="2">
        <f t="shared" si="1"/>
        <v>20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3" t="s">
        <v>48</v>
      </c>
      <c r="B52" s="1">
        <v>12.5</v>
      </c>
      <c r="C52" s="2">
        <v>0.8</v>
      </c>
      <c r="D52" s="2">
        <f t="shared" si="1"/>
        <v>10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3" t="s">
        <v>49</v>
      </c>
      <c r="B53" s="1">
        <v>25.0</v>
      </c>
      <c r="C53" s="2">
        <v>0.8</v>
      </c>
      <c r="D53" s="2">
        <f t="shared" si="1"/>
        <v>20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3" t="s">
        <v>50</v>
      </c>
      <c r="B54" s="1">
        <v>0.0</v>
      </c>
      <c r="C54" s="2">
        <v>0.886</v>
      </c>
      <c r="D54" s="2">
        <f t="shared" si="1"/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3" t="s">
        <v>51</v>
      </c>
      <c r="B55" s="1">
        <v>50.0</v>
      </c>
      <c r="C55" s="2">
        <v>0.886</v>
      </c>
      <c r="D55" s="2">
        <f t="shared" si="1"/>
        <v>44.3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3" t="s">
        <v>52</v>
      </c>
      <c r="B56" s="1">
        <v>50.0</v>
      </c>
      <c r="C56" s="2">
        <v>0.77</v>
      </c>
      <c r="D56" s="2">
        <f t="shared" si="1"/>
        <v>38.5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3" t="s">
        <v>53</v>
      </c>
      <c r="B57" s="1">
        <v>91.5</v>
      </c>
      <c r="C57" s="2">
        <v>0.72</v>
      </c>
      <c r="D57" s="2">
        <f t="shared" si="1"/>
        <v>65.88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" t="s">
        <v>54</v>
      </c>
      <c r="B58" s="1">
        <v>0.0</v>
      </c>
      <c r="C58" s="2">
        <v>0.94</v>
      </c>
      <c r="D58" s="2">
        <f t="shared" si="1"/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3" t="s">
        <v>55</v>
      </c>
      <c r="B59" s="1">
        <v>50.0</v>
      </c>
      <c r="C59" s="2">
        <v>1.035</v>
      </c>
      <c r="D59" s="2">
        <f t="shared" si="1"/>
        <v>51.75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3" t="s">
        <v>56</v>
      </c>
      <c r="B60" s="1">
        <v>25.0</v>
      </c>
      <c r="C60" s="2">
        <v>1.061</v>
      </c>
      <c r="D60" s="2">
        <f t="shared" si="1"/>
        <v>26.525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7" t="s">
        <v>57</v>
      </c>
      <c r="B61" s="1">
        <v>50.0</v>
      </c>
      <c r="C61" s="2">
        <v>0.9</v>
      </c>
      <c r="D61" s="2">
        <f t="shared" si="1"/>
        <v>45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7" t="s">
        <v>58</v>
      </c>
      <c r="B62" s="1">
        <v>25.0</v>
      </c>
      <c r="C62" s="2">
        <v>0.875</v>
      </c>
      <c r="D62" s="2">
        <f t="shared" si="1"/>
        <v>21.875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7" t="s">
        <v>59</v>
      </c>
      <c r="B63" s="1">
        <v>125.0</v>
      </c>
      <c r="C63" s="2">
        <v>0.875</v>
      </c>
      <c r="D63" s="2">
        <f t="shared" si="1"/>
        <v>109.375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7" t="s">
        <v>60</v>
      </c>
      <c r="B64" s="1">
        <v>66.0</v>
      </c>
      <c r="C64" s="2">
        <v>0.75</v>
      </c>
      <c r="D64" s="2">
        <f t="shared" si="1"/>
        <v>49.5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7" t="s">
        <v>61</v>
      </c>
      <c r="B65" s="1">
        <v>0.0</v>
      </c>
      <c r="C65" s="2">
        <v>0.96</v>
      </c>
      <c r="D65" s="2">
        <f t="shared" si="1"/>
        <v>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7" t="s">
        <v>62</v>
      </c>
      <c r="B66" s="1">
        <v>125.0</v>
      </c>
      <c r="C66" s="2">
        <v>0.71</v>
      </c>
      <c r="D66" s="2">
        <f t="shared" si="1"/>
        <v>88.75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7" t="s">
        <v>63</v>
      </c>
      <c r="B67" s="1">
        <v>25.0</v>
      </c>
      <c r="C67" s="2">
        <v>0.75</v>
      </c>
      <c r="D67" s="2">
        <f t="shared" si="1"/>
        <v>18.75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7" t="s">
        <v>64</v>
      </c>
      <c r="B68" s="1">
        <v>50.0</v>
      </c>
      <c r="C68" s="2">
        <v>0.88</v>
      </c>
      <c r="D68" s="2">
        <f t="shared" si="1"/>
        <v>44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"/>
      <c r="B69" s="1"/>
      <c r="C69" s="2"/>
      <c r="D69" s="2">
        <f t="shared" si="1"/>
        <v>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5" t="s">
        <v>65</v>
      </c>
      <c r="B70" s="1"/>
      <c r="C70" s="2"/>
      <c r="D70" s="2">
        <f t="shared" si="1"/>
        <v>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3"/>
      <c r="B71" s="1"/>
      <c r="C71" s="2"/>
      <c r="D71" s="2">
        <f t="shared" si="1"/>
        <v>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3" t="s">
        <v>66</v>
      </c>
      <c r="B72" s="1">
        <v>21.1</v>
      </c>
      <c r="C72" s="2">
        <v>1.28</v>
      </c>
      <c r="D72" s="2">
        <f t="shared" si="1"/>
        <v>27.008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3" t="s">
        <v>67</v>
      </c>
      <c r="B73" s="1">
        <v>24.37</v>
      </c>
      <c r="C73" s="2">
        <v>1.9</v>
      </c>
      <c r="D73" s="2">
        <f t="shared" si="1"/>
        <v>46.303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3" t="s">
        <v>68</v>
      </c>
      <c r="B74" s="1">
        <v>19.47</v>
      </c>
      <c r="C74" s="2">
        <v>0.78</v>
      </c>
      <c r="D74" s="2">
        <f t="shared" si="1"/>
        <v>15.1866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3" t="s">
        <v>69</v>
      </c>
      <c r="B75" s="1">
        <v>0.0</v>
      </c>
      <c r="C75" s="2">
        <v>1.885</v>
      </c>
      <c r="D75" s="2">
        <f t="shared" si="1"/>
        <v>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3" t="s">
        <v>70</v>
      </c>
      <c r="B76" s="1">
        <v>24.9</v>
      </c>
      <c r="C76" s="2">
        <v>1.86</v>
      </c>
      <c r="D76" s="2">
        <f t="shared" si="1"/>
        <v>46.314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3" t="s">
        <v>71</v>
      </c>
      <c r="B77" s="1">
        <v>12.7</v>
      </c>
      <c r="C77" s="2">
        <v>1.68</v>
      </c>
      <c r="D77" s="2">
        <f t="shared" si="1"/>
        <v>21.336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3" t="s">
        <v>72</v>
      </c>
      <c r="B78" s="1">
        <v>0.0</v>
      </c>
      <c r="C78" s="2">
        <v>1.72</v>
      </c>
      <c r="D78" s="2">
        <f t="shared" si="1"/>
        <v>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3"/>
      <c r="B79" s="1"/>
      <c r="C79" s="2"/>
      <c r="D79" s="2">
        <f t="shared" si="1"/>
        <v>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5" t="s">
        <v>73</v>
      </c>
      <c r="B80" s="1"/>
      <c r="C80" s="2"/>
      <c r="D80" s="2">
        <f t="shared" si="1"/>
        <v>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3"/>
      <c r="B81" s="1"/>
      <c r="C81" s="2"/>
      <c r="D81" s="2">
        <f t="shared" si="1"/>
        <v>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3" t="s">
        <v>74</v>
      </c>
      <c r="B82" s="1">
        <v>1.52</v>
      </c>
      <c r="C82" s="2">
        <v>32.5</v>
      </c>
      <c r="D82" s="2">
        <f t="shared" si="1"/>
        <v>49.4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3" t="s">
        <v>75</v>
      </c>
      <c r="B83" s="1">
        <v>50.0</v>
      </c>
      <c r="C83" s="2">
        <v>1.12</v>
      </c>
      <c r="D83" s="2">
        <f t="shared" si="1"/>
        <v>56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3" t="s">
        <v>76</v>
      </c>
      <c r="B84" s="1">
        <v>44.95</v>
      </c>
      <c r="C84" s="2">
        <v>7.5</v>
      </c>
      <c r="D84" s="2">
        <f t="shared" si="1"/>
        <v>337.125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3" t="s">
        <v>77</v>
      </c>
      <c r="B85" s="1">
        <v>1.0</v>
      </c>
      <c r="C85" s="2">
        <v>100.0</v>
      </c>
      <c r="D85" s="2">
        <f t="shared" si="1"/>
        <v>100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3"/>
      <c r="B86" s="1"/>
      <c r="C86" s="2"/>
      <c r="D86" s="2">
        <f t="shared" si="1"/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3" t="s">
        <v>78</v>
      </c>
      <c r="B87" s="1"/>
      <c r="C87" s="2"/>
      <c r="D87" s="2">
        <f t="shared" si="1"/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3"/>
      <c r="B88" s="1"/>
      <c r="C88" s="2"/>
      <c r="D88" s="2">
        <f t="shared" si="1"/>
        <v>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3" t="s">
        <v>79</v>
      </c>
      <c r="B89" s="1">
        <v>700.0</v>
      </c>
      <c r="C89" s="2">
        <v>0.238</v>
      </c>
      <c r="D89" s="2">
        <f t="shared" si="1"/>
        <v>166.6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3" t="s">
        <v>80</v>
      </c>
      <c r="B90" s="1">
        <v>850.0</v>
      </c>
      <c r="C90" s="2">
        <v>0.13</v>
      </c>
      <c r="D90" s="2">
        <f t="shared" si="1"/>
        <v>110.5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3"/>
      <c r="B91" s="1"/>
      <c r="C91" s="2"/>
      <c r="D91" s="2">
        <f t="shared" si="1"/>
        <v>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5" t="s">
        <v>81</v>
      </c>
      <c r="B92" s="1"/>
      <c r="C92" s="2"/>
      <c r="D92" s="2">
        <f t="shared" si="1"/>
        <v>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3"/>
      <c r="B93" s="1"/>
      <c r="C93" s="2"/>
      <c r="D93" s="2">
        <f t="shared" si="1"/>
        <v>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3" t="s">
        <v>82</v>
      </c>
      <c r="B94" s="1">
        <v>15.0</v>
      </c>
      <c r="C94" s="2">
        <v>0.75</v>
      </c>
      <c r="D94" s="2">
        <f t="shared" si="1"/>
        <v>11.25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3" t="s">
        <v>83</v>
      </c>
      <c r="B95" s="1">
        <v>60.0</v>
      </c>
      <c r="C95" s="2">
        <v>0.82</v>
      </c>
      <c r="D95" s="2">
        <f t="shared" si="1"/>
        <v>49.2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3" t="s">
        <v>84</v>
      </c>
      <c r="B96" s="1">
        <v>25.0</v>
      </c>
      <c r="C96" s="2">
        <v>1.39</v>
      </c>
      <c r="D96" s="2">
        <f t="shared" si="1"/>
        <v>34.75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3" t="s">
        <v>85</v>
      </c>
      <c r="B97" s="1">
        <v>25.0</v>
      </c>
      <c r="C97" s="2">
        <v>1.55</v>
      </c>
      <c r="D97" s="2">
        <f t="shared" si="1"/>
        <v>38.75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3" t="s">
        <v>86</v>
      </c>
      <c r="B98" s="1">
        <v>22.0</v>
      </c>
      <c r="C98" s="2">
        <v>1.55</v>
      </c>
      <c r="D98" s="2">
        <f t="shared" si="1"/>
        <v>34.1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3"/>
      <c r="B99" s="1"/>
      <c r="C99" s="2"/>
      <c r="D99" s="2">
        <f t="shared" si="1"/>
        <v>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5" t="s">
        <v>87</v>
      </c>
      <c r="B100" s="1"/>
      <c r="C100" s="2"/>
      <c r="D100" s="2">
        <f t="shared" si="1"/>
        <v>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3"/>
      <c r="B101" s="1"/>
      <c r="C101" s="2"/>
      <c r="D101" s="2">
        <f t="shared" si="1"/>
        <v>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3" t="s">
        <v>88</v>
      </c>
      <c r="B102" s="1">
        <v>4.33</v>
      </c>
      <c r="C102" s="2">
        <v>19.6</v>
      </c>
      <c r="D102" s="2">
        <f t="shared" si="1"/>
        <v>84.868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3" t="s">
        <v>89</v>
      </c>
      <c r="B103" s="1">
        <v>1.7</v>
      </c>
      <c r="C103" s="2">
        <v>18.4</v>
      </c>
      <c r="D103" s="2">
        <f t="shared" si="1"/>
        <v>31.28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3" t="s">
        <v>90</v>
      </c>
      <c r="B104" s="1">
        <v>18.0</v>
      </c>
      <c r="C104" s="2">
        <v>3.393</v>
      </c>
      <c r="D104" s="2">
        <f t="shared" si="1"/>
        <v>61.074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3" t="s">
        <v>91</v>
      </c>
      <c r="B105" s="1">
        <v>0.0</v>
      </c>
      <c r="C105" s="2">
        <v>2.0</v>
      </c>
      <c r="D105" s="2">
        <f t="shared" si="1"/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3" t="s">
        <v>92</v>
      </c>
      <c r="B106" s="1">
        <v>6.0</v>
      </c>
      <c r="C106" s="2">
        <v>7.0</v>
      </c>
      <c r="D106" s="2">
        <f t="shared" si="1"/>
        <v>42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3" t="s">
        <v>93</v>
      </c>
      <c r="B107" s="1">
        <v>50.0</v>
      </c>
      <c r="C107" s="2">
        <v>1.7</v>
      </c>
      <c r="D107" s="2">
        <f t="shared" si="1"/>
        <v>85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3" t="s">
        <v>94</v>
      </c>
      <c r="B108" s="1">
        <v>25.0</v>
      </c>
      <c r="C108" s="2">
        <v>2.1</v>
      </c>
      <c r="D108" s="2">
        <f t="shared" si="1"/>
        <v>52.5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7"/>
      <c r="B109" s="1"/>
      <c r="C109" s="2"/>
      <c r="D109" s="2">
        <f t="shared" si="1"/>
        <v>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8" t="s">
        <v>95</v>
      </c>
      <c r="B110" s="1"/>
      <c r="C110" s="2"/>
      <c r="D110" s="2">
        <f t="shared" si="1"/>
        <v>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7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7" t="s">
        <v>96</v>
      </c>
      <c r="B112" s="1">
        <v>6.0</v>
      </c>
      <c r="C112" s="2">
        <v>46.5</v>
      </c>
      <c r="D112" s="2">
        <f t="shared" ref="D112:D124" si="2">B112*C112</f>
        <v>279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7" t="s">
        <v>97</v>
      </c>
      <c r="B113" s="1">
        <v>4.0</v>
      </c>
      <c r="C113" s="2">
        <v>37.5</v>
      </c>
      <c r="D113" s="2">
        <f t="shared" si="2"/>
        <v>150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7" t="s">
        <v>98</v>
      </c>
      <c r="B114" s="1">
        <v>0.0</v>
      </c>
      <c r="C114" s="2">
        <v>56.0</v>
      </c>
      <c r="D114" s="2">
        <f t="shared" si="2"/>
        <v>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7" t="s">
        <v>99</v>
      </c>
      <c r="B115" s="1">
        <v>2.0</v>
      </c>
      <c r="C115" s="2">
        <v>38.0</v>
      </c>
      <c r="D115" s="2">
        <f t="shared" si="2"/>
        <v>76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7" t="s">
        <v>100</v>
      </c>
      <c r="B116" s="1">
        <v>2.0</v>
      </c>
      <c r="C116" s="2">
        <v>50.0</v>
      </c>
      <c r="D116" s="2">
        <f t="shared" si="2"/>
        <v>100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7"/>
      <c r="B117" s="1"/>
      <c r="C117" s="2"/>
      <c r="D117" s="2">
        <f t="shared" si="2"/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5" t="s">
        <v>101</v>
      </c>
      <c r="B118" s="1"/>
      <c r="C118" s="2"/>
      <c r="D118" s="2">
        <f t="shared" si="2"/>
        <v>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7"/>
      <c r="B119" s="1"/>
      <c r="C119" s="2"/>
      <c r="D119" s="2">
        <f t="shared" si="2"/>
        <v>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3" t="s">
        <v>102</v>
      </c>
      <c r="B120" s="1">
        <v>40.0</v>
      </c>
      <c r="C120" s="2">
        <v>10.7</v>
      </c>
      <c r="D120" s="2">
        <f t="shared" si="2"/>
        <v>428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3" t="s">
        <v>103</v>
      </c>
      <c r="B121" s="1">
        <v>0.0</v>
      </c>
      <c r="C121" s="2">
        <v>16.29</v>
      </c>
      <c r="D121" s="2">
        <f t="shared" si="2"/>
        <v>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3" t="s">
        <v>104</v>
      </c>
      <c r="B122" s="1">
        <v>0.0</v>
      </c>
      <c r="C122" s="2">
        <v>15.0</v>
      </c>
      <c r="D122" s="2">
        <f t="shared" si="2"/>
        <v>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3" t="s">
        <v>105</v>
      </c>
      <c r="B123" s="1">
        <v>50.0</v>
      </c>
      <c r="C123" s="2">
        <v>12.75</v>
      </c>
      <c r="D123" s="2">
        <f t="shared" si="2"/>
        <v>637.5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3"/>
      <c r="B124" s="1"/>
      <c r="C124" s="2"/>
      <c r="D124" s="2">
        <f t="shared" si="2"/>
        <v>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3" t="s">
        <v>106</v>
      </c>
      <c r="B125" s="1"/>
      <c r="C125" s="2"/>
      <c r="D125" s="9">
        <f>SUM(D8:D124)</f>
        <v>7210.5871</v>
      </c>
      <c r="E125" s="10" t="s">
        <v>107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3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3" t="s">
        <v>108</v>
      </c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3"/>
      <c r="B128" s="1"/>
      <c r="C128" s="2"/>
      <c r="D128" s="2"/>
      <c r="E128" s="11" t="s">
        <v>109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3" t="s">
        <v>110</v>
      </c>
      <c r="B129" s="1" t="s">
        <v>111</v>
      </c>
      <c r="C129" s="2">
        <v>0.0</v>
      </c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3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3" t="s">
        <v>112</v>
      </c>
      <c r="B131" s="2">
        <v>623.9845</v>
      </c>
      <c r="C131" s="2">
        <v>0.0</v>
      </c>
      <c r="D131" s="2">
        <f>(B131+C129)*C131</f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3" t="s">
        <v>113</v>
      </c>
      <c r="B132" s="2">
        <v>1302.0</v>
      </c>
      <c r="C132" s="2">
        <v>0.0</v>
      </c>
      <c r="D132" s="2">
        <f>(B132+C129)*C132</f>
        <v>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3" t="s">
        <v>114</v>
      </c>
      <c r="B133" s="2">
        <v>1457.0</v>
      </c>
      <c r="C133" s="2">
        <v>0.0</v>
      </c>
      <c r="D133" s="2">
        <f>(B133+C129)*C133</f>
        <v>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3" t="s">
        <v>115</v>
      </c>
      <c r="B134" s="2">
        <v>1784.0</v>
      </c>
      <c r="C134" s="2">
        <v>0.0</v>
      </c>
      <c r="D134" s="2">
        <f>(B134+C129)*C134</f>
        <v>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3" t="s">
        <v>116</v>
      </c>
      <c r="B135" s="2">
        <v>1587.637</v>
      </c>
      <c r="C135" s="2">
        <v>0.0</v>
      </c>
      <c r="D135" s="2">
        <f t="shared" ref="D135:D136" si="3">(B135+C129)*C135</f>
        <v>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3" t="s">
        <v>117</v>
      </c>
      <c r="B136" s="2">
        <v>2257.63</v>
      </c>
      <c r="C136" s="2">
        <v>0.0</v>
      </c>
      <c r="D136" s="2">
        <f t="shared" si="3"/>
        <v>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3" t="s">
        <v>118</v>
      </c>
      <c r="B137" s="2">
        <v>1550.0</v>
      </c>
      <c r="C137" s="2">
        <v>0.0</v>
      </c>
      <c r="D137" s="2">
        <f>(B137+C129)*C137</f>
        <v>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3" t="s">
        <v>119</v>
      </c>
      <c r="B138" s="2">
        <f>B137*1.33</f>
        <v>2061.5</v>
      </c>
      <c r="C138" s="2">
        <v>0.0</v>
      </c>
      <c r="D138" s="2">
        <f>(B138+C129)*C138</f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3" t="s">
        <v>120</v>
      </c>
      <c r="B139" s="2">
        <v>1048.42</v>
      </c>
      <c r="C139" s="2">
        <v>0.0</v>
      </c>
      <c r="D139" s="2">
        <f>(B139+C129)*C139</f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3" t="s">
        <v>121</v>
      </c>
      <c r="B140" s="2">
        <v>1029.0</v>
      </c>
      <c r="C140" s="2">
        <v>0.0</v>
      </c>
      <c r="D140" s="2">
        <f>(B140+C129)*C140</f>
        <v>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3" t="s">
        <v>122</v>
      </c>
      <c r="B141" s="2">
        <v>1142.32</v>
      </c>
      <c r="C141" s="2">
        <v>0.0</v>
      </c>
      <c r="D141" s="2">
        <f>(B141+C129)*C141</f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3" t="s">
        <v>123</v>
      </c>
      <c r="B142" s="2">
        <v>2000.0</v>
      </c>
      <c r="C142" s="2">
        <v>0.0</v>
      </c>
      <c r="D142" s="2">
        <f>(B142+C129)*C142</f>
        <v>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3" t="s">
        <v>124</v>
      </c>
      <c r="B143" s="2">
        <v>2051.0</v>
      </c>
      <c r="C143" s="2">
        <v>0.0</v>
      </c>
      <c r="D143" s="2">
        <f>(B143+C129)*C143</f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3" t="s">
        <v>125</v>
      </c>
      <c r="B144" s="2">
        <v>1750.0</v>
      </c>
      <c r="C144" s="2">
        <v>0.0</v>
      </c>
      <c r="D144" s="2">
        <f>(B144+C129)*C144</f>
        <v>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3" t="s">
        <v>126</v>
      </c>
      <c r="B145" s="2">
        <v>1254.0</v>
      </c>
      <c r="C145" s="2">
        <v>0.0</v>
      </c>
      <c r="D145" s="2">
        <f>(B145+C129)*C145</f>
        <v>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3" t="s">
        <v>127</v>
      </c>
      <c r="B146" s="2">
        <v>3000.0</v>
      </c>
      <c r="C146" s="2">
        <v>0.0</v>
      </c>
      <c r="D146" s="2">
        <f t="shared" ref="D146:D147" si="4">(B146+C129)*C146</f>
        <v>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3" t="s">
        <v>128</v>
      </c>
      <c r="B147" s="2">
        <v>1578.0</v>
      </c>
      <c r="C147" s="2">
        <v>0.0</v>
      </c>
      <c r="D147" s="2">
        <f t="shared" si="4"/>
        <v>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3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3" t="s">
        <v>129</v>
      </c>
      <c r="B149" s="1"/>
      <c r="C149" s="2"/>
      <c r="D149" s="9">
        <f>SUM(D131:D147)</f>
        <v>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3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3"/>
      <c r="B151" s="1"/>
      <c r="C151" s="2"/>
      <c r="D151" s="2">
        <f t="shared" ref="D151:D191" si="5">B151*C151</f>
        <v>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3" t="s">
        <v>130</v>
      </c>
      <c r="B152" s="1"/>
      <c r="C152" s="2"/>
      <c r="D152" s="2">
        <f t="shared" si="5"/>
        <v>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3"/>
      <c r="B153" s="1"/>
      <c r="C153" s="2"/>
      <c r="D153" s="2">
        <f t="shared" si="5"/>
        <v>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3" t="s">
        <v>131</v>
      </c>
      <c r="B154" s="10"/>
      <c r="C154" s="2"/>
      <c r="D154" s="2">
        <f t="shared" si="5"/>
        <v>0</v>
      </c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3" t="s">
        <v>120</v>
      </c>
      <c r="B155" s="1">
        <v>0.0</v>
      </c>
      <c r="C155" s="2">
        <v>27.0</v>
      </c>
      <c r="D155" s="2">
        <f t="shared" si="5"/>
        <v>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3" t="s">
        <v>132</v>
      </c>
      <c r="B156" s="1">
        <v>0.0</v>
      </c>
      <c r="C156" s="2">
        <v>35.0</v>
      </c>
      <c r="D156" s="2">
        <f t="shared" si="5"/>
        <v>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3" t="s">
        <v>133</v>
      </c>
      <c r="B157" s="1">
        <v>0.0</v>
      </c>
      <c r="C157" s="2">
        <v>27.0</v>
      </c>
      <c r="D157" s="2">
        <f t="shared" si="5"/>
        <v>0</v>
      </c>
      <c r="E157" s="1"/>
      <c r="F157" s="1"/>
      <c r="G157" s="10" t="s">
        <v>134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3" t="s">
        <v>135</v>
      </c>
      <c r="B158" s="1">
        <v>0.0</v>
      </c>
      <c r="C158" s="2">
        <v>35.0</v>
      </c>
      <c r="D158" s="2">
        <f t="shared" si="5"/>
        <v>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3" t="s">
        <v>116</v>
      </c>
      <c r="B159" s="10">
        <v>14.0</v>
      </c>
      <c r="C159" s="2">
        <v>38.0</v>
      </c>
      <c r="D159" s="2">
        <f t="shared" si="5"/>
        <v>532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3" t="s">
        <v>136</v>
      </c>
      <c r="B160" s="10">
        <v>12.0</v>
      </c>
      <c r="C160" s="2">
        <v>47.0</v>
      </c>
      <c r="D160" s="2">
        <f t="shared" si="5"/>
        <v>564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3" t="s">
        <v>137</v>
      </c>
      <c r="B161" s="1">
        <v>0.0</v>
      </c>
      <c r="C161" s="2">
        <v>57.0</v>
      </c>
      <c r="D161" s="2">
        <f t="shared" si="5"/>
        <v>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3" t="s">
        <v>118</v>
      </c>
      <c r="B162" s="10">
        <v>10.0</v>
      </c>
      <c r="C162" s="2">
        <v>34.0</v>
      </c>
      <c r="D162" s="2">
        <f t="shared" si="5"/>
        <v>340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3" t="s">
        <v>138</v>
      </c>
      <c r="B163" s="10">
        <v>13.0</v>
      </c>
      <c r="C163" s="2">
        <v>44.0</v>
      </c>
      <c r="D163" s="2">
        <f t="shared" si="5"/>
        <v>572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3" t="s">
        <v>112</v>
      </c>
      <c r="B164" s="1">
        <v>8.0</v>
      </c>
      <c r="C164" s="2">
        <v>20.0</v>
      </c>
      <c r="D164" s="2">
        <f t="shared" si="5"/>
        <v>160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3" t="s">
        <v>139</v>
      </c>
      <c r="B165" s="1">
        <v>30.0</v>
      </c>
      <c r="C165" s="2">
        <v>29.0</v>
      </c>
      <c r="D165" s="2">
        <f t="shared" si="5"/>
        <v>870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3" t="s">
        <v>140</v>
      </c>
      <c r="B166" s="1">
        <v>0.0</v>
      </c>
      <c r="C166" s="2">
        <v>42.0</v>
      </c>
      <c r="D166" s="2">
        <f t="shared" si="5"/>
        <v>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3" t="s">
        <v>122</v>
      </c>
      <c r="B167" s="1">
        <v>0.0</v>
      </c>
      <c r="C167" s="2">
        <v>30.0</v>
      </c>
      <c r="D167" s="2">
        <f t="shared" si="5"/>
        <v>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3" t="s">
        <v>141</v>
      </c>
      <c r="B168" s="1">
        <v>0.0</v>
      </c>
      <c r="C168" s="2">
        <v>40.0</v>
      </c>
      <c r="D168" s="2">
        <f t="shared" si="5"/>
        <v>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3" t="s">
        <v>142</v>
      </c>
      <c r="B169" s="1">
        <v>0.0</v>
      </c>
      <c r="C169" s="2">
        <v>34.0</v>
      </c>
      <c r="D169" s="2">
        <f t="shared" si="5"/>
        <v>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3" t="s">
        <v>143</v>
      </c>
      <c r="B170" s="1">
        <v>0.0</v>
      </c>
      <c r="C170" s="2">
        <v>44.0</v>
      </c>
      <c r="D170" s="2">
        <f t="shared" si="5"/>
        <v>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3" t="s">
        <v>144</v>
      </c>
      <c r="B171" s="1">
        <v>0.0</v>
      </c>
      <c r="C171" s="2">
        <v>35.0</v>
      </c>
      <c r="D171" s="2">
        <f t="shared" si="5"/>
        <v>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3" t="s">
        <v>145</v>
      </c>
      <c r="B172" s="1">
        <v>0.0</v>
      </c>
      <c r="C172" s="2">
        <v>45.0</v>
      </c>
      <c r="D172" s="2">
        <f t="shared" si="5"/>
        <v>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3" t="s">
        <v>146</v>
      </c>
      <c r="B173" s="1">
        <v>0.0</v>
      </c>
      <c r="C173" s="2">
        <v>43.0</v>
      </c>
      <c r="D173" s="2">
        <f t="shared" si="5"/>
        <v>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3" t="s">
        <v>147</v>
      </c>
      <c r="B174" s="10">
        <v>0.0</v>
      </c>
      <c r="C174" s="2">
        <v>31.0</v>
      </c>
      <c r="D174" s="2">
        <f t="shared" si="5"/>
        <v>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3" t="s">
        <v>148</v>
      </c>
      <c r="B175" s="10">
        <v>0.0</v>
      </c>
      <c r="C175" s="2">
        <v>40.0</v>
      </c>
      <c r="D175" s="2">
        <f t="shared" si="5"/>
        <v>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3" t="s">
        <v>149</v>
      </c>
      <c r="B176" s="1">
        <v>0.0</v>
      </c>
      <c r="C176" s="2">
        <v>48.0</v>
      </c>
      <c r="D176" s="2">
        <f t="shared" si="5"/>
        <v>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3" t="s">
        <v>150</v>
      </c>
      <c r="B177" s="1">
        <v>0.0</v>
      </c>
      <c r="C177" s="2">
        <v>33.0</v>
      </c>
      <c r="D177" s="2">
        <f t="shared" si="5"/>
        <v>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3" t="s">
        <v>151</v>
      </c>
      <c r="B178" s="1">
        <v>0.0</v>
      </c>
      <c r="C178" s="2">
        <v>42.0</v>
      </c>
      <c r="D178" s="2">
        <f t="shared" si="5"/>
        <v>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3" t="s">
        <v>152</v>
      </c>
      <c r="B179" s="10">
        <v>20.0</v>
      </c>
      <c r="C179" s="2">
        <v>29.0</v>
      </c>
      <c r="D179" s="2">
        <f t="shared" si="5"/>
        <v>580</v>
      </c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3" t="s">
        <v>153</v>
      </c>
      <c r="B180" s="10">
        <v>27.0</v>
      </c>
      <c r="C180" s="2">
        <v>39.0</v>
      </c>
      <c r="D180" s="2">
        <f t="shared" si="5"/>
        <v>1053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3" t="s">
        <v>154</v>
      </c>
      <c r="B181" s="1">
        <v>0.0</v>
      </c>
      <c r="C181" s="2">
        <v>38.0</v>
      </c>
      <c r="D181" s="2">
        <f t="shared" si="5"/>
        <v>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3" t="s">
        <v>126</v>
      </c>
      <c r="B182" s="1">
        <v>0.0</v>
      </c>
      <c r="C182" s="2">
        <v>32.0</v>
      </c>
      <c r="D182" s="2">
        <f t="shared" si="5"/>
        <v>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3" t="s">
        <v>155</v>
      </c>
      <c r="B183" s="1">
        <v>0.0</v>
      </c>
      <c r="C183" s="2">
        <v>42.0</v>
      </c>
      <c r="D183" s="2">
        <f t="shared" si="5"/>
        <v>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3" t="s">
        <v>156</v>
      </c>
      <c r="B184" s="1">
        <v>0.0</v>
      </c>
      <c r="C184" s="2">
        <v>48.65</v>
      </c>
      <c r="D184" s="2">
        <f t="shared" si="5"/>
        <v>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3" t="s">
        <v>157</v>
      </c>
      <c r="B185" s="1">
        <v>13.0</v>
      </c>
      <c r="C185" s="2">
        <v>29.0</v>
      </c>
      <c r="D185" s="2">
        <f t="shared" si="5"/>
        <v>377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3" t="s">
        <v>158</v>
      </c>
      <c r="B186" s="1">
        <v>11.0</v>
      </c>
      <c r="C186" s="2">
        <v>37.0</v>
      </c>
      <c r="D186" s="2">
        <f t="shared" si="5"/>
        <v>407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3" t="s">
        <v>159</v>
      </c>
      <c r="B187" s="10">
        <v>42.0</v>
      </c>
      <c r="C187" s="2">
        <v>35.5</v>
      </c>
      <c r="D187" s="2">
        <f t="shared" si="5"/>
        <v>1491</v>
      </c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2" t="s">
        <v>160</v>
      </c>
      <c r="B188" s="10">
        <v>1.0</v>
      </c>
      <c r="C188" s="13">
        <v>27.5</v>
      </c>
      <c r="D188" s="2">
        <f t="shared" si="5"/>
        <v>27.5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4" t="s">
        <v>161</v>
      </c>
      <c r="B189" s="10">
        <v>24.0</v>
      </c>
      <c r="C189" s="2">
        <v>27.0</v>
      </c>
      <c r="D189" s="2">
        <f t="shared" si="5"/>
        <v>648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5" t="s">
        <v>162</v>
      </c>
      <c r="B190" s="10">
        <v>25.0</v>
      </c>
      <c r="C190" s="2">
        <v>35.0</v>
      </c>
      <c r="D190" s="2">
        <f t="shared" si="5"/>
        <v>875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6" t="s">
        <v>163</v>
      </c>
      <c r="B191" s="15">
        <v>107.0</v>
      </c>
      <c r="C191" s="13">
        <v>29.0</v>
      </c>
      <c r="D191" s="2">
        <f t="shared" si="5"/>
        <v>3103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3" ht="13.5" customHeight="1">
      <c r="A193" s="3"/>
      <c r="B193" s="1"/>
      <c r="C193" s="2"/>
      <c r="D193" s="2">
        <f t="shared" ref="D193:D215" si="6">B193*C193</f>
        <v>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3" t="s">
        <v>164</v>
      </c>
      <c r="B194" s="1"/>
      <c r="C194" s="2"/>
      <c r="D194" s="2">
        <f t="shared" si="6"/>
        <v>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3" t="s">
        <v>165</v>
      </c>
      <c r="B195" s="10">
        <v>19.0</v>
      </c>
      <c r="C195" s="2">
        <v>42.0</v>
      </c>
      <c r="D195" s="2">
        <f t="shared" si="6"/>
        <v>798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3" t="s">
        <v>166</v>
      </c>
      <c r="B196" s="1">
        <v>0.0</v>
      </c>
      <c r="C196" s="2">
        <v>39.0</v>
      </c>
      <c r="D196" s="2">
        <f t="shared" si="6"/>
        <v>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3" t="s">
        <v>167</v>
      </c>
      <c r="B197" s="1">
        <v>0.0</v>
      </c>
      <c r="C197" s="2">
        <v>37.0</v>
      </c>
      <c r="D197" s="2">
        <f t="shared" si="6"/>
        <v>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3" t="s">
        <v>168</v>
      </c>
      <c r="B198" s="1">
        <v>0.0</v>
      </c>
      <c r="C198" s="2">
        <v>70.0</v>
      </c>
      <c r="D198" s="2">
        <f t="shared" si="6"/>
        <v>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3" t="s">
        <v>169</v>
      </c>
      <c r="B199" s="1">
        <v>0.0</v>
      </c>
      <c r="C199" s="2">
        <v>42.0</v>
      </c>
      <c r="D199" s="2">
        <f t="shared" si="6"/>
        <v>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3" t="s">
        <v>170</v>
      </c>
      <c r="B200" s="1">
        <v>34.0</v>
      </c>
      <c r="C200" s="2">
        <v>59.37</v>
      </c>
      <c r="D200" s="2">
        <f t="shared" si="6"/>
        <v>2018.58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3" t="s">
        <v>171</v>
      </c>
      <c r="B201" s="1">
        <v>0.0</v>
      </c>
      <c r="C201" s="2">
        <v>53.0</v>
      </c>
      <c r="D201" s="2">
        <f t="shared" si="6"/>
        <v>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3" t="s">
        <v>172</v>
      </c>
      <c r="B202" s="1">
        <v>0.0</v>
      </c>
      <c r="C202" s="2">
        <v>35.0</v>
      </c>
      <c r="D202" s="2">
        <f t="shared" si="6"/>
        <v>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3" t="s">
        <v>173</v>
      </c>
      <c r="B203" s="1">
        <v>0.0</v>
      </c>
      <c r="C203" s="2">
        <v>55.0</v>
      </c>
      <c r="D203" s="2">
        <f t="shared" si="6"/>
        <v>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3" t="s">
        <v>174</v>
      </c>
      <c r="B204" s="1">
        <v>0.0</v>
      </c>
      <c r="C204" s="2">
        <v>37.0</v>
      </c>
      <c r="D204" s="2">
        <f t="shared" si="6"/>
        <v>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3" t="s">
        <v>175</v>
      </c>
      <c r="B205" s="1">
        <v>1.0</v>
      </c>
      <c r="C205" s="2">
        <v>40.0</v>
      </c>
      <c r="D205" s="2">
        <f t="shared" si="6"/>
        <v>40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3" t="s">
        <v>176</v>
      </c>
      <c r="B206" s="1">
        <v>34.0</v>
      </c>
      <c r="C206" s="2">
        <v>37.0</v>
      </c>
      <c r="D206" s="2">
        <f t="shared" si="6"/>
        <v>1258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3" t="s">
        <v>177</v>
      </c>
      <c r="B207" s="1">
        <v>0.0</v>
      </c>
      <c r="C207" s="2">
        <v>47.5</v>
      </c>
      <c r="D207" s="2">
        <f t="shared" si="6"/>
        <v>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3" t="s">
        <v>178</v>
      </c>
      <c r="B208" s="1">
        <v>0.0</v>
      </c>
      <c r="C208" s="2">
        <v>43.5</v>
      </c>
      <c r="D208" s="2">
        <f t="shared" si="6"/>
        <v>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3" t="s">
        <v>179</v>
      </c>
      <c r="B209" s="1">
        <v>0.0</v>
      </c>
      <c r="C209" s="2">
        <v>41.0</v>
      </c>
      <c r="D209" s="2">
        <f t="shared" si="6"/>
        <v>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3" t="s">
        <v>180</v>
      </c>
      <c r="B210" s="1">
        <v>0.0</v>
      </c>
      <c r="C210" s="2">
        <v>42.0</v>
      </c>
      <c r="D210" s="2">
        <f t="shared" si="6"/>
        <v>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3" t="s">
        <v>181</v>
      </c>
      <c r="B211" s="1">
        <v>0.0</v>
      </c>
      <c r="C211" s="2">
        <v>40.0</v>
      </c>
      <c r="D211" s="2">
        <f t="shared" si="6"/>
        <v>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3" t="s">
        <v>154</v>
      </c>
      <c r="B212" s="1">
        <v>32.0</v>
      </c>
      <c r="C212" s="2">
        <v>40.0</v>
      </c>
      <c r="D212" s="2">
        <f t="shared" si="6"/>
        <v>1280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3" t="s">
        <v>182</v>
      </c>
      <c r="B213" s="1">
        <v>0.0</v>
      </c>
      <c r="C213" s="2">
        <v>47.5</v>
      </c>
      <c r="D213" s="2">
        <f t="shared" si="6"/>
        <v>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3" t="s">
        <v>183</v>
      </c>
      <c r="B214" s="1">
        <v>12.0</v>
      </c>
      <c r="C214" s="2">
        <v>37.0</v>
      </c>
      <c r="D214" s="2">
        <f t="shared" si="6"/>
        <v>444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7" t="s">
        <v>184</v>
      </c>
      <c r="B215" s="10">
        <v>5.0</v>
      </c>
      <c r="C215" s="2">
        <v>59.37</v>
      </c>
      <c r="D215" s="2">
        <f t="shared" si="6"/>
        <v>296.85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3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3"/>
      <c r="B217" s="1"/>
      <c r="C217" s="2"/>
      <c r="D217" s="2">
        <f t="shared" ref="D217:D218" si="7">B217*C217</f>
        <v>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8" t="s">
        <v>185</v>
      </c>
      <c r="B218" s="19">
        <v>0.0</v>
      </c>
      <c r="C218" s="20">
        <v>0.0</v>
      </c>
      <c r="D218" s="20">
        <f t="shared" si="7"/>
        <v>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3" t="s">
        <v>186</v>
      </c>
      <c r="B220" s="1"/>
      <c r="C220" s="2"/>
      <c r="D220" s="9">
        <f>SUM(D155:D219)</f>
        <v>17734.93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 t="s">
        <v>187</v>
      </c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 t="s">
        <v>188</v>
      </c>
      <c r="B224" s="1">
        <v>50.0</v>
      </c>
      <c r="C224" s="2">
        <v>12.12</v>
      </c>
      <c r="D224" s="2">
        <f t="shared" ref="D224:D225" si="8">B224*C224</f>
        <v>606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 t="s">
        <v>189</v>
      </c>
      <c r="B225" s="1">
        <v>26.0</v>
      </c>
      <c r="C225" s="2">
        <v>12.6</v>
      </c>
      <c r="D225" s="2">
        <f t="shared" si="8"/>
        <v>327.6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 t="s">
        <v>190</v>
      </c>
      <c r="B227" s="1"/>
      <c r="C227" s="2"/>
      <c r="D227" s="9">
        <f>SUM(D224:D225)</f>
        <v>933.6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2"/>
      <c r="D228" s="2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 t="s">
        <v>191</v>
      </c>
      <c r="B229" s="1"/>
      <c r="C229" s="2"/>
      <c r="D229" s="2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2"/>
      <c r="D230" s="2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 t="s">
        <v>192</v>
      </c>
      <c r="B231" s="1">
        <v>0.0</v>
      </c>
      <c r="C231" s="2">
        <v>65.42</v>
      </c>
      <c r="D231" s="2">
        <f t="shared" ref="D231:D256" si="9">C231*B231</f>
        <v>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 t="s">
        <v>193</v>
      </c>
      <c r="B232" s="1">
        <v>0.0</v>
      </c>
      <c r="C232" s="2">
        <v>65.44</v>
      </c>
      <c r="D232" s="2">
        <f t="shared" si="9"/>
        <v>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2"/>
      <c r="D233" s="2">
        <f t="shared" si="9"/>
        <v>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 t="s">
        <v>194</v>
      </c>
      <c r="B234" s="1">
        <v>0.0</v>
      </c>
      <c r="C234" s="2">
        <v>92.38</v>
      </c>
      <c r="D234" s="2">
        <f t="shared" si="9"/>
        <v>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 t="s">
        <v>195</v>
      </c>
      <c r="B235" s="1">
        <v>0.0</v>
      </c>
      <c r="C235" s="2">
        <v>1.69</v>
      </c>
      <c r="D235" s="2">
        <f t="shared" si="9"/>
        <v>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 t="s">
        <v>196</v>
      </c>
      <c r="B236" s="1">
        <v>0.0</v>
      </c>
      <c r="C236" s="2">
        <v>91.57</v>
      </c>
      <c r="D236" s="2">
        <f t="shared" si="9"/>
        <v>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 t="s">
        <v>197</v>
      </c>
      <c r="B237" s="1">
        <v>89.0</v>
      </c>
      <c r="C237" s="2">
        <v>1.685</v>
      </c>
      <c r="D237" s="2">
        <f t="shared" si="9"/>
        <v>149.965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 t="s">
        <v>198</v>
      </c>
      <c r="B238" s="1">
        <v>93.0</v>
      </c>
      <c r="C238" s="2">
        <v>1.7616</v>
      </c>
      <c r="D238" s="2">
        <f t="shared" si="9"/>
        <v>163.8288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 t="s">
        <v>199</v>
      </c>
      <c r="B239" s="1">
        <v>21.0</v>
      </c>
      <c r="C239" s="2">
        <v>2.116</v>
      </c>
      <c r="D239" s="2">
        <f t="shared" si="9"/>
        <v>44.436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2"/>
      <c r="D240" s="2">
        <f t="shared" si="9"/>
        <v>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 t="s">
        <v>200</v>
      </c>
      <c r="B241" s="1">
        <v>0.0</v>
      </c>
      <c r="C241" s="2">
        <v>73.88</v>
      </c>
      <c r="D241" s="2">
        <f t="shared" si="9"/>
        <v>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 t="s">
        <v>201</v>
      </c>
      <c r="B242" s="1">
        <v>75.0</v>
      </c>
      <c r="C242" s="2">
        <v>1.154</v>
      </c>
      <c r="D242" s="2">
        <f t="shared" si="9"/>
        <v>86.55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 t="s">
        <v>202</v>
      </c>
      <c r="B243" s="1">
        <v>0.0</v>
      </c>
      <c r="C243" s="2">
        <v>1.466</v>
      </c>
      <c r="D243" s="2">
        <f t="shared" si="9"/>
        <v>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2"/>
      <c r="D244" s="2">
        <f t="shared" si="9"/>
        <v>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 t="s">
        <v>203</v>
      </c>
      <c r="B245" s="1">
        <v>0.0</v>
      </c>
      <c r="C245" s="2">
        <v>70.97</v>
      </c>
      <c r="D245" s="2">
        <f t="shared" si="9"/>
        <v>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2"/>
      <c r="D246" s="2">
        <f t="shared" si="9"/>
        <v>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 t="s">
        <v>204</v>
      </c>
      <c r="B247" s="1">
        <v>85.0</v>
      </c>
      <c r="C247" s="2">
        <v>1.704</v>
      </c>
      <c r="D247" s="2">
        <f t="shared" si="9"/>
        <v>144.84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 t="s">
        <v>205</v>
      </c>
      <c r="B248" s="1">
        <v>90.0</v>
      </c>
      <c r="C248" s="2">
        <v>1.755</v>
      </c>
      <c r="D248" s="2">
        <f t="shared" si="9"/>
        <v>157.95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2"/>
      <c r="D249" s="2">
        <f t="shared" si="9"/>
        <v>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 t="s">
        <v>206</v>
      </c>
      <c r="B250" s="1">
        <v>0.0</v>
      </c>
      <c r="C250" s="2">
        <v>1.64</v>
      </c>
      <c r="D250" s="2">
        <f t="shared" si="9"/>
        <v>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 t="s">
        <v>207</v>
      </c>
      <c r="B251" s="1">
        <v>0.0</v>
      </c>
      <c r="C251" s="2">
        <v>1.672</v>
      </c>
      <c r="D251" s="2">
        <f t="shared" si="9"/>
        <v>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 t="s">
        <v>208</v>
      </c>
      <c r="B252" s="1">
        <v>24.0</v>
      </c>
      <c r="C252" s="2">
        <v>1.42</v>
      </c>
      <c r="D252" s="2">
        <f t="shared" si="9"/>
        <v>34.08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 t="s">
        <v>209</v>
      </c>
      <c r="B253" s="1">
        <v>24.0</v>
      </c>
      <c r="C253" s="2">
        <v>1.65</v>
      </c>
      <c r="D253" s="2">
        <f t="shared" si="9"/>
        <v>39.6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 t="s">
        <v>210</v>
      </c>
      <c r="B254" s="1">
        <v>1.0</v>
      </c>
      <c r="C254" s="2">
        <v>46.31</v>
      </c>
      <c r="D254" s="2">
        <f t="shared" si="9"/>
        <v>46.31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 t="s">
        <v>211</v>
      </c>
      <c r="B255" s="1">
        <v>0.0</v>
      </c>
      <c r="C255" s="2">
        <v>45.08</v>
      </c>
      <c r="D255" s="2">
        <f t="shared" si="9"/>
        <v>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 t="s">
        <v>212</v>
      </c>
      <c r="B256" s="1">
        <v>0.0</v>
      </c>
      <c r="C256" s="2">
        <v>42.01</v>
      </c>
      <c r="D256" s="2">
        <f t="shared" si="9"/>
        <v>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2"/>
      <c r="D257" s="2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2"/>
      <c r="D258" s="2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 t="s">
        <v>213</v>
      </c>
      <c r="B259" s="1"/>
      <c r="C259" s="2"/>
      <c r="D259" s="9">
        <f>SUM(D231:D256)</f>
        <v>867.5598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 t="s">
        <v>214</v>
      </c>
      <c r="B261" s="1"/>
      <c r="C261" s="2"/>
      <c r="D261" s="22">
        <f>D125+D149+D220+D227+D259</f>
        <v>26746.6769</v>
      </c>
      <c r="E261" s="1"/>
      <c r="F261" s="1"/>
      <c r="G261" s="1">
        <f>D261-D125</f>
        <v>19536.0898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2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2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2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2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2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2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printOptions/>
  <pageMargins bottom="1.1437007874015745" footer="0.0" header="0.0" left="0.7000000000000001" right="0.7000000000000001" top="1.143700787401574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2026-05-12T14:54:17Z</dcterms:created>
</cp:coreProperties>
</file>