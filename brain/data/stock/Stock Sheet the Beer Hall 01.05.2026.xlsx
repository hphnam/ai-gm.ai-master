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4"/>
  </sheets>
  <definedNames/>
  <calcPr/>
  <extLst>
    <ext uri="GoogleSheetsCustomDataVersion2">
      <go:sheetsCustomData xmlns:go="http://customooxmlschemas.google.com/" r:id="rId5" roundtripDataChecksum="zk/pvCZgT4U5uEN+DHl34vj/RyQyfhwS6aahCY87AC8="/>
    </ext>
  </extLst>
</workbook>
</file>

<file path=xl/sharedStrings.xml><?xml version="1.0" encoding="utf-8"?>
<sst xmlns="http://schemas.openxmlformats.org/spreadsheetml/2006/main" count="198" uniqueCount="179">
  <si>
    <t>Stock: 01.05.2026(current amount of stock)</t>
  </si>
  <si>
    <t xml:space="preserve">Product </t>
  </si>
  <si>
    <t xml:space="preserve">Quanitiy </t>
  </si>
  <si>
    <t>Price</t>
  </si>
  <si>
    <t>Total on hand</t>
  </si>
  <si>
    <t>Spirits</t>
  </si>
  <si>
    <t>Spirits Amount Calculator</t>
  </si>
  <si>
    <t>Vodka</t>
  </si>
  <si>
    <t>Servings</t>
  </si>
  <si>
    <t>Sold This Week</t>
  </si>
  <si>
    <t>Amount Per Week</t>
  </si>
  <si>
    <t>Ciroc Original 70cl</t>
  </si>
  <si>
    <t>25ml - Single</t>
  </si>
  <si>
    <t>Ciroc Mango 70cl</t>
  </si>
  <si>
    <t>Ciroc Apple 70cl</t>
  </si>
  <si>
    <t>Ciroc Summer Citrus 70cl</t>
  </si>
  <si>
    <t>Absolut  Raspberry 70cl</t>
  </si>
  <si>
    <t>Checkov Cheap Ass Vodka 1.5ltr</t>
  </si>
  <si>
    <t>50ml - Double</t>
  </si>
  <si>
    <t>3 Wheel Vodka</t>
  </si>
  <si>
    <t>Smirnoff Red 70cl</t>
  </si>
  <si>
    <t>Total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</si>
  <si>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</si>
  <si>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</si>
  <si>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</si>
  <si>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</si>
  <si>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</si>
  <si>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</si>
  <si>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</si>
  <si>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</si>
  <si>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</si>
  <si>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</si>
  <si>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</si>
  <si>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</si>
  <si>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</si>
  <si>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</si>
  <si>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Gunpowder Gin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</si>
  <si>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</si>
  <si>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</si>
  <si>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</si>
  <si>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</si>
  <si>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</si>
  <si>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</si>
  <si>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</si>
  <si>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</si>
  <si>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</si>
  <si>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</si>
  <si>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</si>
  <si>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</si>
  <si>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</si>
  <si>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</si>
  <si>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</si>
  <si>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</si>
  <si>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</si>
  <si>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</si>
  <si>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</si>
  <si>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</si>
  <si>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pimms no1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</si>
  <si>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</si>
  <si>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</si>
  <si>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</si>
  <si>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</si>
  <si>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</si>
  <si>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</si>
  <si>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</si>
  <si>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</si>
  <si>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</si>
  <si>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Aperol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</si>
  <si>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</si>
  <si>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</si>
  <si>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</si>
  <si>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</si>
  <si>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</si>
  <si>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</si>
  <si>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</si>
  <si>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Tussock Jumper Merlot (Red) x 75cl</t>
  </si>
  <si>
    <t>LA BONITA MALBEC</t>
  </si>
  <si>
    <t>Chilnero Merlot x 75cl</t>
  </si>
  <si>
    <t>Wine Amount Calculator</t>
  </si>
  <si>
    <t>White</t>
  </si>
  <si>
    <t>175ml - Medium</t>
  </si>
  <si>
    <t>South Island Sauvignon Blanc x 75cl</t>
  </si>
  <si>
    <t>chardonnay</t>
  </si>
  <si>
    <t>Alpino Pinot Grigio 75cl</t>
  </si>
  <si>
    <t>Afrikan Chenin Blanc</t>
  </si>
  <si>
    <t>Rose</t>
  </si>
  <si>
    <t>Discovery Beach White Zinfandel (Rose) x 75cl</t>
  </si>
  <si>
    <t>Alpino Pinot Blush (Rose) x 75cl</t>
  </si>
  <si>
    <t>Sparkling-</t>
  </si>
  <si>
    <t>Cantina Garda Prosecco (White) x 75cl</t>
  </si>
  <si>
    <t>Cantina Garda Prosecco (Rose) x 75cl</t>
  </si>
  <si>
    <t>Cantina Garda Spumante x 75cl</t>
  </si>
  <si>
    <t>125ml - Glass</t>
  </si>
  <si>
    <t>Soft Drinks/Mixers-</t>
  </si>
  <si>
    <t>Sunpride Cranberry Juice - x 1ltr</t>
  </si>
  <si>
    <t>Sunpride Orange/Apple Juice - x 1ltr</t>
  </si>
  <si>
    <t>Britvic Orange Cordial - 0.7 x 1ltr</t>
  </si>
  <si>
    <t>Britvic Blackcurrant Cordial - 0.2 x 1ltr</t>
  </si>
  <si>
    <t>Britvic Lime Cordial - 11.1 x 1ltr</t>
  </si>
  <si>
    <t>Energy Drink Big bottles</t>
  </si>
  <si>
    <t xml:space="preserve">Fruit Shoot Apple and Blackcurrant 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</si>
  <si>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</si>
  <si>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</si>
  <si>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</si>
  <si>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</si>
  <si>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</si>
  <si>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</si>
  <si>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Casa De Flores Merlot</t>
  </si>
  <si>
    <t>Finca La Colonia Malbec</t>
  </si>
  <si>
    <t>Valdemoreda Macabeo</t>
  </si>
  <si>
    <t>Poggio Alto Pinot Grigio</t>
  </si>
  <si>
    <t>Featherdrop NZ Sauvignon Blanc</t>
  </si>
  <si>
    <t>Golden State Zinfandel</t>
  </si>
  <si>
    <t>Poggio Alto Pinot Blush (rose)</t>
  </si>
  <si>
    <t>Serena 1881 Prosecco</t>
  </si>
  <si>
    <t>Serena 1881 Rose Prosecco</t>
  </si>
  <si>
    <t>Serena 1881 Spumante</t>
  </si>
  <si>
    <t>cheap aldi prosecco</t>
  </si>
  <si>
    <t>Canned/Bottled</t>
  </si>
  <si>
    <t>Guinness (Pint Can)</t>
  </si>
  <si>
    <t>Guinness 0% (Pint Can)</t>
  </si>
  <si>
    <t>Old Mout Cider</t>
  </si>
  <si>
    <t>Erdinger 0% (Bottle 500ml)</t>
  </si>
  <si>
    <t>Thatchers 0% (Bottle 500ml)</t>
  </si>
  <si>
    <t>LUNEBREW CANS  (440ml Can)</t>
  </si>
  <si>
    <t>Corona Bottles 330ml</t>
  </si>
  <si>
    <t>Vodka Cans TREAT DAY</t>
  </si>
  <si>
    <t>Strongbow cans 440ml</t>
  </si>
  <si>
    <t>Ascension Pilot can</t>
  </si>
  <si>
    <t>Ascension Wrath Can</t>
  </si>
  <si>
    <t>Ascension Shimmy Can</t>
  </si>
  <si>
    <t>Cask-</t>
  </si>
  <si>
    <t>Lunebrew: Lune Valley Gold</t>
  </si>
  <si>
    <t>Cask Calculator</t>
  </si>
  <si>
    <t>LuneBrew: Pale Ale</t>
  </si>
  <si>
    <t>Serving</t>
  </si>
  <si>
    <t>LuneBrew: session ipa</t>
  </si>
  <si>
    <t>LuneBrew: Origin blonde</t>
  </si>
  <si>
    <t>Half</t>
  </si>
  <si>
    <t>LuneBrew: Caked</t>
  </si>
  <si>
    <t>Pint</t>
  </si>
  <si>
    <t>Guest</t>
  </si>
  <si>
    <t>Stein</t>
  </si>
  <si>
    <t>Lunebrew cremed cask</t>
  </si>
  <si>
    <t>LuneBrew: Stout 8 Malt</t>
  </si>
  <si>
    <t>LuneBrew: Spinning Jenny</t>
  </si>
  <si>
    <t>Draught-</t>
  </si>
  <si>
    <t>Lunebrew: Session IPA</t>
  </si>
  <si>
    <t>Lunebrew: Peaches (30ltr)</t>
  </si>
  <si>
    <t>Keg Calculator</t>
  </si>
  <si>
    <t>Lunebrew:Pale (30ltr)</t>
  </si>
  <si>
    <t>Lunebrew/Guest (30ltr)</t>
  </si>
  <si>
    <t>LuneBrew: Stampede</t>
  </si>
  <si>
    <t>Apple Cider 50ltr</t>
  </si>
  <si>
    <t>LuneBrew: Dew (30ltr)</t>
  </si>
  <si>
    <t>LuneBrew: Caravan of Love</t>
  </si>
  <si>
    <t>Stowford press</t>
  </si>
  <si>
    <t>Alcohol Free: ?</t>
  </si>
  <si>
    <t>Delerium Red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</si>
  <si>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</si>
  <si>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</si>
  <si>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</si>
  <si>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</si>
  <si>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</si>
  <si>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</si>
  <si>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trappist blonde</t>
  </si>
  <si>
    <t xml:space="preserve">Postmix - NEED TO ORDER </t>
  </si>
  <si>
    <t>7l Coke</t>
  </si>
  <si>
    <t>9l Tonic</t>
  </si>
  <si>
    <t>13l Lemonade</t>
  </si>
  <si>
    <t>15l Diet coke</t>
  </si>
  <si>
    <t>Snacks</t>
  </si>
  <si>
    <t>Bacon Fries</t>
  </si>
  <si>
    <t>Crisps (lancashire}</t>
  </si>
  <si>
    <t>Nobbys Nuts - Salted</t>
  </si>
  <si>
    <t>Nobbys Nuts - Dry Roasted</t>
  </si>
  <si>
    <t>Nobbys Nuts - Sweet Chilli</t>
  </si>
  <si>
    <t>Pork Scratchings</t>
  </si>
  <si>
    <t>TOTAL CASH AMOUNT OF STOCK HELD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</si>
</sst>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#,##0.0000"/>
    <numFmt numFmtId="166" formatCode="#,##0.0"/>
    <numFmt numFmtId="167" formatCode="[$£-809]#,##0.00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FFFFFF"/>
      <name val="Arial"/>
    </font>
    <font>
      <b/>
      <u/>
      <sz val="10.0"/>
      <color theme="1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941D2"/>
        <bgColor rgb="FFF941D2"/>
      </patternFill>
    </fill>
    <fill>
      <patternFill patternType="solid">
        <fgColor rgb="FFD5A6BD"/>
        <bgColor rgb="FFD5A6B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/>
    </xf>
    <xf borderId="3" fillId="3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4" fillId="3" fontId="3" numFmtId="0" xfId="0" applyAlignment="1" applyBorder="1" applyFont="1">
      <alignment horizontal="center"/>
    </xf>
    <xf borderId="1" fillId="4" fontId="4" numFmtId="0" xfId="0" applyBorder="1" applyFill="1" applyFont="1"/>
    <xf borderId="1" fillId="4" fontId="2" numFmtId="0" xfId="0" applyBorder="1" applyFont="1"/>
    <xf borderId="5" fillId="4" fontId="2" numFmtId="0" xfId="0" applyBorder="1" applyFont="1"/>
    <xf borderId="3" fillId="3" fontId="2" numFmtId="0" xfId="0" applyBorder="1" applyFont="1"/>
    <xf borderId="6" fillId="5" fontId="2" numFmtId="0" xfId="0" applyAlignment="1" applyBorder="1" applyFill="1" applyFont="1">
      <alignment horizontal="center"/>
    </xf>
    <xf borderId="7" fillId="0" fontId="5" numFmtId="0" xfId="0" applyBorder="1" applyFont="1"/>
    <xf borderId="8" fillId="0" fontId="5" numFmtId="0" xfId="0" applyBorder="1" applyFont="1"/>
    <xf borderId="9" fillId="5" fontId="2" numFmtId="0" xfId="0" applyBorder="1" applyFont="1"/>
    <xf borderId="10" fillId="5" fontId="2" numFmtId="0" xfId="0" applyBorder="1" applyFont="1"/>
    <xf borderId="1" fillId="4" fontId="1" numFmtId="0" xfId="0" applyBorder="1" applyFont="1"/>
    <xf borderId="1" fillId="4" fontId="2" numFmtId="2" xfId="0" applyAlignment="1" applyBorder="1" applyFont="1" applyNumberFormat="1">
      <alignment horizontal="right"/>
    </xf>
    <xf borderId="5" fillId="4" fontId="2" numFmtId="2" xfId="0" applyAlignment="1" applyBorder="1" applyFont="1" applyNumberFormat="1">
      <alignment horizontal="right"/>
    </xf>
    <xf borderId="0" fillId="0" fontId="2" numFmtId="4" xfId="0" applyFont="1" applyNumberFormat="1"/>
    <xf borderId="0" fillId="0" fontId="2" numFmtId="164" xfId="0" applyFont="1" applyNumberFormat="1"/>
    <xf borderId="0" fillId="0" fontId="2" numFmtId="165" xfId="0" applyFont="1" applyNumberFormat="1"/>
    <xf borderId="10" fillId="5" fontId="2" numFmtId="0" xfId="0" applyAlignment="1" applyBorder="1" applyFont="1">
      <alignment horizontal="right"/>
    </xf>
    <xf borderId="1" fillId="4" fontId="2" numFmtId="2" xfId="0" applyAlignment="1" applyBorder="1" applyFont="1" applyNumberFormat="1">
      <alignment horizontal="right" readingOrder="0"/>
    </xf>
    <xf borderId="1" fillId="0" fontId="2" numFmtId="0" xfId="0" applyBorder="1" applyFont="1"/>
    <xf borderId="1" fillId="0" fontId="2" numFmtId="2" xfId="0" applyBorder="1" applyFont="1" applyNumberFormat="1"/>
    <xf borderId="6" fillId="0" fontId="2" numFmtId="2" xfId="0" applyAlignment="1" applyBorder="1" applyFont="1" applyNumberFormat="1">
      <alignment horizontal="right"/>
    </xf>
    <xf borderId="1" fillId="6" fontId="1" numFmtId="0" xfId="0" applyBorder="1" applyFill="1" applyFont="1"/>
    <xf borderId="1" fillId="6" fontId="2" numFmtId="2" xfId="0" applyBorder="1" applyFont="1" applyNumberFormat="1"/>
    <xf borderId="5" fillId="6" fontId="2" numFmtId="2" xfId="0" applyAlignment="1" applyBorder="1" applyFont="1" applyNumberFormat="1">
      <alignment horizontal="right"/>
    </xf>
    <xf borderId="1" fillId="6" fontId="2" numFmtId="2" xfId="0" applyAlignment="1" applyBorder="1" applyFont="1" applyNumberFormat="1">
      <alignment horizontal="right" readingOrder="0"/>
    </xf>
    <xf borderId="1" fillId="6" fontId="2" numFmtId="2" xfId="0" applyAlignment="1" applyBorder="1" applyFont="1" applyNumberFormat="1">
      <alignment horizontal="right"/>
    </xf>
    <xf borderId="1" fillId="7" fontId="1" numFmtId="0" xfId="0" applyBorder="1" applyFill="1" applyFont="1"/>
    <xf borderId="1" fillId="7" fontId="2" numFmtId="2" xfId="0" applyBorder="1" applyFont="1" applyNumberFormat="1"/>
    <xf borderId="5" fillId="7" fontId="2" numFmtId="2" xfId="0" applyAlignment="1" applyBorder="1" applyFont="1" applyNumberFormat="1">
      <alignment horizontal="right"/>
    </xf>
    <xf borderId="1" fillId="7" fontId="2" numFmtId="2" xfId="0" applyAlignment="1" applyBorder="1" applyFont="1" applyNumberFormat="1">
      <alignment readingOrder="0"/>
    </xf>
    <xf borderId="1" fillId="7" fontId="2" numFmtId="2" xfId="0" applyAlignment="1" applyBorder="1" applyFont="1" applyNumberFormat="1">
      <alignment horizontal="right"/>
    </xf>
    <xf borderId="1" fillId="7" fontId="2" numFmtId="2" xfId="0" applyAlignment="1" applyBorder="1" applyFont="1" applyNumberFormat="1">
      <alignment horizontal="right" readingOrder="0"/>
    </xf>
    <xf borderId="1" fillId="8" fontId="1" numFmtId="0" xfId="0" applyBorder="1" applyFill="1" applyFont="1"/>
    <xf borderId="1" fillId="8" fontId="2" numFmtId="2" xfId="0" applyBorder="1" applyFont="1" applyNumberFormat="1"/>
    <xf borderId="5" fillId="8" fontId="2" numFmtId="2" xfId="0" applyAlignment="1" applyBorder="1" applyFont="1" applyNumberFormat="1">
      <alignment horizontal="right"/>
    </xf>
    <xf borderId="1" fillId="8" fontId="2" numFmtId="2" xfId="0" applyAlignment="1" applyBorder="1" applyFont="1" applyNumberFormat="1">
      <alignment horizontal="right" readingOrder="0"/>
    </xf>
    <xf borderId="1" fillId="8" fontId="2" numFmtId="2" xfId="0" applyAlignment="1" applyBorder="1" applyFont="1" applyNumberFormat="1">
      <alignment horizontal="right"/>
    </xf>
    <xf borderId="1" fillId="9" fontId="1" numFmtId="0" xfId="0" applyBorder="1" applyFill="1" applyFont="1"/>
    <xf borderId="1" fillId="9" fontId="2" numFmtId="2" xfId="0" applyBorder="1" applyFont="1" applyNumberFormat="1"/>
    <xf borderId="5" fillId="9" fontId="2" numFmtId="2" xfId="0" applyAlignment="1" applyBorder="1" applyFont="1" applyNumberFormat="1">
      <alignment horizontal="right"/>
    </xf>
    <xf borderId="1" fillId="9" fontId="2" numFmtId="2" xfId="0" applyAlignment="1" applyBorder="1" applyFont="1" applyNumberFormat="1">
      <alignment horizontal="right"/>
    </xf>
    <xf borderId="1" fillId="9" fontId="2" numFmtId="2" xfId="0" applyAlignment="1" applyBorder="1" applyFont="1" applyNumberFormat="1">
      <alignment horizontal="right" readingOrder="0"/>
    </xf>
    <xf borderId="1" fillId="10" fontId="1" numFmtId="0" xfId="0" applyBorder="1" applyFill="1" applyFont="1"/>
    <xf borderId="1" fillId="10" fontId="2" numFmtId="2" xfId="0" applyBorder="1" applyFont="1" applyNumberFormat="1"/>
    <xf borderId="5" fillId="10" fontId="2" numFmtId="2" xfId="0" applyAlignment="1" applyBorder="1" applyFont="1" applyNumberFormat="1">
      <alignment horizontal="right"/>
    </xf>
    <xf borderId="1" fillId="10" fontId="2" numFmtId="2" xfId="0" applyAlignment="1" applyBorder="1" applyFont="1" applyNumberFormat="1">
      <alignment horizontal="right"/>
    </xf>
    <xf borderId="1" fillId="0" fontId="1" numFmtId="0" xfId="0" applyBorder="1" applyFont="1"/>
    <xf borderId="1" fillId="11" fontId="1" numFmtId="0" xfId="0" applyBorder="1" applyFill="1" applyFont="1"/>
    <xf borderId="1" fillId="11" fontId="2" numFmtId="2" xfId="0" applyBorder="1" applyFont="1" applyNumberFormat="1"/>
    <xf borderId="5" fillId="11" fontId="2" numFmtId="2" xfId="0" applyAlignment="1" applyBorder="1" applyFont="1" applyNumberFormat="1">
      <alignment horizontal="right"/>
    </xf>
    <xf borderId="1" fillId="11" fontId="2" numFmtId="2" xfId="0" applyAlignment="1" applyBorder="1" applyFont="1" applyNumberFormat="1">
      <alignment horizontal="right"/>
    </xf>
    <xf borderId="1" fillId="11" fontId="2" numFmtId="2" xfId="0" applyAlignment="1" applyBorder="1" applyFont="1" applyNumberFormat="1">
      <alignment horizontal="right" readingOrder="0"/>
    </xf>
    <xf borderId="6" fillId="12" fontId="2" numFmtId="0" xfId="0" applyAlignment="1" applyBorder="1" applyFill="1" applyFont="1">
      <alignment horizontal="center"/>
    </xf>
    <xf borderId="1" fillId="3" fontId="1" numFmtId="0" xfId="0" applyBorder="1" applyFont="1"/>
    <xf borderId="1" fillId="0" fontId="2" numFmtId="2" xfId="0" applyAlignment="1" applyBorder="1" applyFont="1" applyNumberFormat="1">
      <alignment horizontal="right"/>
    </xf>
    <xf borderId="1" fillId="12" fontId="2" numFmtId="0" xfId="0" applyBorder="1" applyFont="1"/>
    <xf borderId="1" fillId="13" fontId="1" numFmtId="0" xfId="0" applyBorder="1" applyFill="1" applyFont="1"/>
    <xf borderId="1" fillId="13" fontId="2" numFmtId="2" xfId="0" applyAlignment="1" applyBorder="1" applyFont="1" applyNumberFormat="1">
      <alignment horizontal="right"/>
    </xf>
    <xf borderId="5" fillId="13" fontId="2" numFmtId="2" xfId="0" applyAlignment="1" applyBorder="1" applyFont="1" applyNumberFormat="1">
      <alignment horizontal="right"/>
    </xf>
    <xf borderId="1" fillId="13" fontId="2" numFmtId="2" xfId="0" applyAlignment="1" applyBorder="1" applyFont="1" applyNumberFormat="1">
      <alignment horizontal="right" readingOrder="0"/>
    </xf>
    <xf borderId="4" fillId="12" fontId="2" numFmtId="0" xfId="0" applyBorder="1" applyFont="1"/>
    <xf borderId="1" fillId="12" fontId="1" numFmtId="0" xfId="0" applyBorder="1" applyFont="1"/>
    <xf borderId="1" fillId="12" fontId="2" numFmtId="2" xfId="0" applyAlignment="1" applyBorder="1" applyFont="1" applyNumberFormat="1">
      <alignment horizontal="right"/>
    </xf>
    <xf borderId="5" fillId="12" fontId="2" numFmtId="2" xfId="0" applyAlignment="1" applyBorder="1" applyFont="1" applyNumberFormat="1">
      <alignment horizontal="right"/>
    </xf>
    <xf borderId="1" fillId="12" fontId="2" numFmtId="2" xfId="0" applyAlignment="1" applyBorder="1" applyFont="1" applyNumberFormat="1">
      <alignment horizontal="right" readingOrder="0"/>
    </xf>
    <xf borderId="1" fillId="14" fontId="1" numFmtId="0" xfId="0" applyBorder="1" applyFill="1" applyFont="1"/>
    <xf borderId="1" fillId="14" fontId="2" numFmtId="2" xfId="0" applyBorder="1" applyFont="1" applyNumberFormat="1"/>
    <xf borderId="5" fillId="14" fontId="2" numFmtId="2" xfId="0" applyAlignment="1" applyBorder="1" applyFont="1" applyNumberFormat="1">
      <alignment horizontal="right"/>
    </xf>
    <xf borderId="1" fillId="14" fontId="2" numFmtId="2" xfId="0" applyAlignment="1" applyBorder="1" applyFont="1" applyNumberFormat="1">
      <alignment horizontal="right" readingOrder="0"/>
    </xf>
    <xf borderId="1" fillId="14" fontId="2" numFmtId="2" xfId="0" applyAlignment="1" applyBorder="1" applyFont="1" applyNumberFormat="1">
      <alignment horizontal="right"/>
    </xf>
    <xf borderId="1" fillId="15" fontId="2" numFmtId="0" xfId="0" applyAlignment="1" applyBorder="1" applyFill="1" applyFont="1">
      <alignment horizontal="center"/>
    </xf>
    <xf borderId="1" fillId="15" fontId="2" numFmtId="0" xfId="0" applyBorder="1" applyFont="1"/>
    <xf borderId="1" fillId="16" fontId="1" numFmtId="0" xfId="0" applyBorder="1" applyFill="1" applyFont="1"/>
    <xf borderId="1" fillId="16" fontId="2" numFmtId="2" xfId="0" applyBorder="1" applyFont="1" applyNumberFormat="1"/>
    <xf borderId="5" fillId="16" fontId="2" numFmtId="2" xfId="0" applyAlignment="1" applyBorder="1" applyFont="1" applyNumberFormat="1">
      <alignment horizontal="right"/>
    </xf>
    <xf borderId="1" fillId="16" fontId="2" numFmtId="2" xfId="0" applyAlignment="1" applyBorder="1" applyFont="1" applyNumberFormat="1">
      <alignment horizontal="right" readingOrder="0"/>
    </xf>
    <xf borderId="1" fillId="16" fontId="2" numFmtId="2" xfId="0" applyAlignment="1" applyBorder="1" applyFont="1" applyNumberFormat="1">
      <alignment horizontal="right"/>
    </xf>
    <xf borderId="0" fillId="0" fontId="2" numFmtId="166" xfId="0" applyFont="1" applyNumberFormat="1"/>
    <xf borderId="1" fillId="0" fontId="6" numFmtId="4" xfId="0" applyBorder="1" applyFont="1" applyNumberFormat="1"/>
    <xf borderId="1" fillId="0" fontId="7" numFmtId="4" xfId="0" applyBorder="1" applyFont="1" applyNumberFormat="1"/>
    <xf borderId="1" fillId="0" fontId="7" numFmtId="164" xfId="0" applyBorder="1" applyFont="1" applyNumberFormat="1"/>
    <xf borderId="1" fillId="11" fontId="6" numFmtId="4" xfId="0" applyBorder="1" applyFont="1" applyNumberFormat="1"/>
    <xf borderId="1" fillId="11" fontId="7" numFmtId="4" xfId="0" applyBorder="1" applyFont="1" applyNumberFormat="1"/>
    <xf borderId="1" fillId="11" fontId="7" numFmtId="164" xfId="0" applyBorder="1" applyFont="1" applyNumberFormat="1"/>
    <xf borderId="1" fillId="11" fontId="7" numFmtId="4" xfId="0" applyAlignment="1" applyBorder="1" applyFont="1" applyNumberFormat="1">
      <alignment horizontal="right" readingOrder="0"/>
    </xf>
    <xf borderId="1" fillId="11" fontId="7" numFmtId="164" xfId="0" applyAlignment="1" applyBorder="1" applyFont="1" applyNumberFormat="1">
      <alignment horizontal="right"/>
    </xf>
    <xf borderId="1" fillId="13" fontId="6" numFmtId="4" xfId="0" applyBorder="1" applyFont="1" applyNumberFormat="1"/>
    <xf borderId="1" fillId="13" fontId="7" numFmtId="4" xfId="0" applyAlignment="1" applyBorder="1" applyFont="1" applyNumberFormat="1">
      <alignment horizontal="right"/>
    </xf>
    <xf borderId="1" fillId="13" fontId="7" numFmtId="164" xfId="0" applyAlignment="1" applyBorder="1" applyFont="1" applyNumberFormat="1">
      <alignment horizontal="right"/>
    </xf>
    <xf borderId="1" fillId="12" fontId="6" numFmtId="4" xfId="0" applyBorder="1" applyFont="1" applyNumberFormat="1"/>
    <xf borderId="1" fillId="12" fontId="7" numFmtId="4" xfId="0" applyAlignment="1" applyBorder="1" applyFont="1" applyNumberFormat="1">
      <alignment horizontal="right"/>
    </xf>
    <xf borderId="1" fillId="12" fontId="7" numFmtId="164" xfId="0" applyAlignment="1" applyBorder="1" applyFont="1" applyNumberFormat="1">
      <alignment horizontal="right"/>
    </xf>
    <xf borderId="1" fillId="0" fontId="7" numFmtId="4" xfId="0" applyAlignment="1" applyBorder="1" applyFont="1" applyNumberFormat="1">
      <alignment horizontal="right"/>
    </xf>
    <xf borderId="1" fillId="0" fontId="7" numFmtId="164" xfId="0" applyAlignment="1" applyBorder="1" applyFont="1" applyNumberFormat="1">
      <alignment horizontal="right"/>
    </xf>
    <xf borderId="11" fillId="0" fontId="2" numFmtId="0" xfId="0" applyBorder="1" applyFont="1"/>
    <xf borderId="1" fillId="14" fontId="6" numFmtId="4" xfId="0" applyBorder="1" applyFont="1" applyNumberFormat="1"/>
    <xf borderId="1" fillId="14" fontId="7" numFmtId="4" xfId="0" applyBorder="1" applyFont="1" applyNumberFormat="1"/>
    <xf borderId="1" fillId="14" fontId="7" numFmtId="164" xfId="0" applyBorder="1" applyFont="1" applyNumberFormat="1"/>
    <xf borderId="1" fillId="14" fontId="7" numFmtId="164" xfId="0" applyAlignment="1" applyBorder="1" applyFont="1" applyNumberFormat="1">
      <alignment horizontal="right"/>
    </xf>
    <xf borderId="6" fillId="0" fontId="7" numFmtId="165" xfId="0" applyAlignment="1" applyBorder="1" applyFont="1" applyNumberFormat="1">
      <alignment horizontal="right"/>
    </xf>
    <xf borderId="1" fillId="17" fontId="1" numFmtId="0" xfId="0" applyBorder="1" applyFill="1" applyFont="1"/>
    <xf borderId="1" fillId="17" fontId="2" numFmtId="2" xfId="0" applyBorder="1" applyFont="1" applyNumberFormat="1"/>
    <xf borderId="5" fillId="17" fontId="2" numFmtId="2" xfId="0" applyAlignment="1" applyBorder="1" applyFont="1" applyNumberFormat="1">
      <alignment horizontal="right"/>
    </xf>
    <xf borderId="1" fillId="17" fontId="2" numFmtId="2" xfId="0" applyAlignment="1" applyBorder="1" applyFont="1" applyNumberFormat="1">
      <alignment horizontal="right" readingOrder="0"/>
    </xf>
    <xf borderId="1" fillId="17" fontId="2" numFmtId="2" xfId="0" applyAlignment="1" applyBorder="1" applyFont="1" applyNumberFormat="1">
      <alignment horizontal="right"/>
    </xf>
    <xf borderId="5" fillId="12" fontId="7" numFmtId="165" xfId="0" applyAlignment="1" applyBorder="1" applyFont="1" applyNumberFormat="1">
      <alignment horizontal="right"/>
    </xf>
    <xf borderId="1" fillId="18" fontId="1" numFmtId="0" xfId="0" applyBorder="1" applyFill="1" applyFont="1"/>
    <xf borderId="1" fillId="18" fontId="2" numFmtId="2" xfId="0" applyBorder="1" applyFont="1" applyNumberFormat="1"/>
    <xf borderId="1" fillId="18" fontId="2" numFmtId="2" xfId="0" applyAlignment="1" applyBorder="1" applyFont="1" applyNumberFormat="1">
      <alignment horizontal="right" readingOrder="0"/>
    </xf>
    <xf borderId="5" fillId="18" fontId="2" numFmtId="2" xfId="0" applyAlignment="1" applyBorder="1" applyFont="1" applyNumberFormat="1">
      <alignment horizontal="right"/>
    </xf>
    <xf borderId="6" fillId="19" fontId="2" numFmtId="0" xfId="0" applyAlignment="1" applyBorder="1" applyFill="1" applyFont="1">
      <alignment horizontal="center"/>
    </xf>
    <xf borderId="5" fillId="14" fontId="7" numFmtId="165" xfId="0" applyAlignment="1" applyBorder="1" applyFont="1" applyNumberFormat="1">
      <alignment horizontal="right"/>
    </xf>
    <xf borderId="1" fillId="19" fontId="2" numFmtId="0" xfId="0" applyBorder="1" applyFont="1"/>
    <xf borderId="1" fillId="19" fontId="8" numFmtId="0" xfId="0" applyBorder="1" applyFont="1"/>
    <xf borderId="4" fillId="19" fontId="2" numFmtId="0" xfId="0" applyBorder="1" applyFont="1"/>
    <xf borderId="1" fillId="20" fontId="1" numFmtId="0" xfId="0" applyBorder="1" applyFill="1" applyFont="1"/>
    <xf borderId="1" fillId="20" fontId="2" numFmtId="2" xfId="0" applyBorder="1" applyFont="1" applyNumberFormat="1"/>
    <xf borderId="1" fillId="20" fontId="2" numFmtId="2" xfId="0" applyAlignment="1" applyBorder="1" applyFont="1" applyNumberFormat="1">
      <alignment horizontal="right" readingOrder="0"/>
    </xf>
    <xf borderId="5" fillId="20" fontId="2" numFmtId="2" xfId="0" applyAlignment="1" applyBorder="1" applyFont="1" applyNumberFormat="1">
      <alignment horizontal="right"/>
    </xf>
    <xf borderId="1" fillId="20" fontId="2" numFmtId="0" xfId="0" applyBorder="1" applyFont="1"/>
    <xf borderId="6" fillId="20" fontId="2" numFmtId="0" xfId="0" applyAlignment="1" applyBorder="1" applyFont="1">
      <alignment horizontal="center"/>
    </xf>
    <xf borderId="1" fillId="20" fontId="2" numFmtId="0" xfId="0" applyAlignment="1" applyBorder="1" applyFont="1">
      <alignment horizontal="center"/>
    </xf>
    <xf borderId="1" fillId="20" fontId="2" numFmtId="2" xfId="0" applyAlignment="1" applyBorder="1" applyFont="1" applyNumberFormat="1">
      <alignment horizontal="right"/>
    </xf>
    <xf borderId="4" fillId="3" fontId="2" numFmtId="0" xfId="0" applyBorder="1" applyFont="1"/>
    <xf borderId="1" fillId="21" fontId="1" numFmtId="0" xfId="0" applyBorder="1" applyFill="1" applyFont="1"/>
    <xf borderId="1" fillId="21" fontId="2" numFmtId="2" xfId="0" applyBorder="1" applyFont="1" applyNumberFormat="1"/>
    <xf borderId="1" fillId="21" fontId="2" numFmtId="2" xfId="0" applyAlignment="1" applyBorder="1" applyFont="1" applyNumberFormat="1">
      <alignment horizontal="right" readingOrder="0"/>
    </xf>
    <xf borderId="5" fillId="21" fontId="2" numFmtId="2" xfId="0" applyAlignment="1" applyBorder="1" applyFont="1" applyNumberFormat="1">
      <alignment horizontal="right"/>
    </xf>
    <xf borderId="0" fillId="0" fontId="2" numFmtId="2" xfId="0" applyFont="1" applyNumberFormat="1"/>
    <xf borderId="10" fillId="22" fontId="2" numFmtId="0" xfId="0" applyBorder="1" applyFill="1" applyFont="1"/>
    <xf borderId="9" fillId="22" fontId="2" numFmtId="2" xfId="0" applyBorder="1" applyFont="1" applyNumberFormat="1"/>
    <xf borderId="12" fillId="22" fontId="2" numFmtId="0" xfId="0" applyBorder="1" applyFont="1"/>
    <xf borderId="1" fillId="22" fontId="2" numFmtId="2" xfId="0" applyAlignment="1" applyBorder="1" applyFont="1" applyNumberFormat="1">
      <alignment readingOrder="0"/>
    </xf>
    <xf borderId="1" fillId="22" fontId="2" numFmtId="2" xfId="0" applyBorder="1" applyFont="1" applyNumberFormat="1"/>
    <xf borderId="5" fillId="22" fontId="2" numFmtId="2" xfId="0" applyAlignment="1" applyBorder="1" applyFont="1" applyNumberFormat="1">
      <alignment horizontal="right"/>
    </xf>
    <xf borderId="12" fillId="22" fontId="2" numFmtId="0" xfId="0" applyAlignment="1" applyBorder="1" applyFont="1">
      <alignment readingOrder="0"/>
    </xf>
    <xf borderId="13" fillId="22" fontId="7" numFmtId="0" xfId="0" applyAlignment="1" applyBorder="1" applyFont="1">
      <alignment horizontal="left"/>
    </xf>
    <xf borderId="14" fillId="22" fontId="2" numFmtId="2" xfId="0" applyAlignment="1" applyBorder="1" applyFont="1" applyNumberFormat="1">
      <alignment readingOrder="0"/>
    </xf>
    <xf borderId="14" fillId="22" fontId="2" numFmtId="2" xfId="0" applyBorder="1" applyFont="1" applyNumberFormat="1"/>
    <xf borderId="4" fillId="5" fontId="2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2.63"/>
    <col customWidth="1" min="2" max="4" width="12.63"/>
    <col customWidth="1" min="5" max="5" width="10.88"/>
    <col customWidth="1" min="6" max="6" width="18.88"/>
    <col customWidth="1" min="9" max="9" width="11.88"/>
    <col customWidth="1" min="10" max="10" width="15.13"/>
    <col customWidth="1" min="11" max="12" width="12.63"/>
    <col customWidth="1" min="13" max="13" width="14.38"/>
    <col customWidth="1" min="15" max="15" width="14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1</v>
      </c>
      <c r="B3" s="3" t="s">
        <v>2</v>
      </c>
      <c r="C3" s="3" t="s">
        <v>3</v>
      </c>
      <c r="D3" s="4" t="s">
        <v>4</v>
      </c>
      <c r="E3" s="5"/>
      <c r="F3" s="6"/>
      <c r="G3" s="6"/>
      <c r="H3" s="6"/>
      <c r="I3" s="6"/>
      <c r="J3" s="6"/>
      <c r="K3" s="6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8" t="s">
        <v>5</v>
      </c>
      <c r="B4" s="9"/>
      <c r="C4" s="9"/>
      <c r="D4" s="10"/>
      <c r="E4" s="11"/>
      <c r="F4" s="2"/>
      <c r="G4" s="2"/>
      <c r="H4" s="2"/>
      <c r="I4" s="2"/>
      <c r="J4" s="2"/>
      <c r="K4" s="2"/>
      <c r="L4" s="2"/>
      <c r="M4" s="12" t="s">
        <v>6</v>
      </c>
      <c r="N4" s="13"/>
      <c r="O4" s="14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8" t="s">
        <v>7</v>
      </c>
      <c r="B5" s="9"/>
      <c r="C5" s="9"/>
      <c r="D5" s="10"/>
      <c r="E5" s="11"/>
      <c r="F5" s="2"/>
      <c r="G5" s="2"/>
      <c r="H5" s="2"/>
      <c r="I5" s="2"/>
      <c r="J5" s="2"/>
      <c r="K5" s="2"/>
      <c r="L5" s="2"/>
      <c r="M5" s="15" t="s">
        <v>8</v>
      </c>
      <c r="N5" s="16" t="s">
        <v>9</v>
      </c>
      <c r="O5" s="16" t="s">
        <v>10</v>
      </c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17" t="s">
        <v>11</v>
      </c>
      <c r="B6" s="18"/>
      <c r="C6" s="18">
        <v>24.85</v>
      </c>
      <c r="D6" s="19">
        <f t="shared" ref="D6:D13" si="1">SUM(B6*C6)</f>
        <v>0</v>
      </c>
      <c r="E6" s="11"/>
      <c r="F6" s="20"/>
      <c r="G6" s="20"/>
      <c r="H6" s="21"/>
      <c r="I6" s="21"/>
      <c r="J6" s="22"/>
      <c r="K6" s="22"/>
      <c r="L6" s="2"/>
      <c r="M6" s="15" t="s">
        <v>12</v>
      </c>
      <c r="N6" s="16"/>
      <c r="O6" s="23">
        <f>SUM(25/700)*N6</f>
        <v>0</v>
      </c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17" t="s">
        <v>13</v>
      </c>
      <c r="B7" s="18">
        <v>0.2</v>
      </c>
      <c r="C7" s="18">
        <v>24.85</v>
      </c>
      <c r="D7" s="19">
        <f t="shared" si="1"/>
        <v>4.97</v>
      </c>
      <c r="E7" s="11"/>
      <c r="F7" s="20"/>
      <c r="G7" s="20"/>
      <c r="H7" s="21"/>
      <c r="I7" s="21"/>
      <c r="J7" s="22"/>
      <c r="K7" s="22"/>
      <c r="L7" s="2"/>
      <c r="M7" s="15"/>
      <c r="N7" s="16"/>
      <c r="O7" s="23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17" t="s">
        <v>14</v>
      </c>
      <c r="B8" s="18">
        <v>0.1</v>
      </c>
      <c r="C8" s="18">
        <v>16.68</v>
      </c>
      <c r="D8" s="19">
        <f t="shared" si="1"/>
        <v>1.668</v>
      </c>
      <c r="E8" s="11"/>
      <c r="F8" s="20"/>
      <c r="G8" s="20"/>
      <c r="H8" s="21"/>
      <c r="I8" s="21"/>
      <c r="J8" s="22"/>
      <c r="K8" s="22"/>
      <c r="L8" s="2"/>
      <c r="M8" s="15"/>
      <c r="N8" s="16"/>
      <c r="O8" s="23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17" t="s">
        <v>15</v>
      </c>
      <c r="B9" s="18"/>
      <c r="C9" s="18">
        <v>24.85</v>
      </c>
      <c r="D9" s="19">
        <f t="shared" si="1"/>
        <v>0</v>
      </c>
      <c r="E9" s="11"/>
      <c r="F9" s="20"/>
      <c r="G9" s="20"/>
      <c r="H9" s="21"/>
      <c r="I9" s="21"/>
      <c r="J9" s="22"/>
      <c r="K9" s="22"/>
      <c r="L9" s="2"/>
      <c r="M9" s="15"/>
      <c r="N9" s="16"/>
      <c r="O9" s="23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17" t="s">
        <v>16</v>
      </c>
      <c r="B10" s="24">
        <v>2.0</v>
      </c>
      <c r="C10" s="18">
        <v>17.99</v>
      </c>
      <c r="D10" s="19">
        <f t="shared" si="1"/>
        <v>35.98</v>
      </c>
      <c r="E10" s="11"/>
      <c r="F10" s="20"/>
      <c r="G10" s="20"/>
      <c r="H10" s="21"/>
      <c r="I10" s="21"/>
      <c r="J10" s="22"/>
      <c r="K10" s="22"/>
      <c r="L10" s="2"/>
      <c r="M10" s="15"/>
      <c r="N10" s="16"/>
      <c r="O10" s="23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17" t="s">
        <v>17</v>
      </c>
      <c r="B11" s="24">
        <v>0.0</v>
      </c>
      <c r="C11" s="18">
        <v>22.97</v>
      </c>
      <c r="D11" s="19">
        <f t="shared" si="1"/>
        <v>0</v>
      </c>
      <c r="E11" s="11"/>
      <c r="F11" s="20"/>
      <c r="G11" s="20"/>
      <c r="H11" s="20"/>
      <c r="I11" s="21"/>
      <c r="J11" s="22"/>
      <c r="K11" s="22"/>
      <c r="L11" s="2"/>
      <c r="M11" s="15" t="s">
        <v>18</v>
      </c>
      <c r="N11" s="16"/>
      <c r="O11" s="23">
        <f>SUM(50/700)*N11</f>
        <v>0</v>
      </c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17" t="s">
        <v>19</v>
      </c>
      <c r="B12" s="24">
        <v>0.0</v>
      </c>
      <c r="C12" s="18">
        <v>23.5</v>
      </c>
      <c r="D12" s="19">
        <f t="shared" si="1"/>
        <v>0</v>
      </c>
      <c r="E12" s="11"/>
      <c r="F12" s="20"/>
      <c r="G12" s="20"/>
      <c r="H12" s="20"/>
      <c r="I12" s="21"/>
      <c r="J12" s="22"/>
      <c r="K12" s="22"/>
      <c r="L12" s="2"/>
      <c r="M12" s="15"/>
      <c r="N12" s="16"/>
      <c r="O12" s="23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17" t="s">
        <v>20</v>
      </c>
      <c r="B13" s="24">
        <v>3.6</v>
      </c>
      <c r="C13" s="18">
        <v>12.99</v>
      </c>
      <c r="D13" s="19">
        <f t="shared" si="1"/>
        <v>46.764</v>
      </c>
      <c r="E13" s="11"/>
      <c r="F13" s="20"/>
      <c r="G13" s="20"/>
      <c r="H13" s="20"/>
      <c r="I13" s="21"/>
      <c r="J13" s="22"/>
      <c r="K13" s="22"/>
      <c r="L13" s="2"/>
      <c r="M13" s="15"/>
      <c r="N13" s="16"/>
      <c r="O13" s="23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25"/>
      <c r="B14" s="26"/>
      <c r="C14" s="26"/>
      <c r="D14" s="27"/>
      <c r="E14" s="11"/>
      <c r="F14" s="20"/>
      <c r="G14" s="20"/>
      <c r="H14" s="20"/>
      <c r="I14" s="21"/>
      <c r="J14" s="22"/>
      <c r="K14" s="22"/>
      <c r="L14" s="2"/>
      <c r="M14" s="15"/>
      <c r="N14" s="16" t="s">
        <v>21</v>
      </c>
      <c r="O14" s="23">
        <f>SUM(O6+O11)</f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8" t="s">
        <v>22</v>
      </c>
      <c r="B15" s="29"/>
      <c r="C15" s="29"/>
      <c r="D15" s="30">
        <f t="shared" ref="D15:D21" si="2">SUM(B15*C15)</f>
        <v>0</v>
      </c>
      <c r="E15" s="11"/>
      <c r="F15" s="20"/>
      <c r="G15" s="20"/>
      <c r="H15" s="20"/>
      <c r="I15" s="21"/>
      <c r="J15" s="22"/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8" t="s">
        <v>23</v>
      </c>
      <c r="B16" s="31">
        <v>4.2</v>
      </c>
      <c r="C16" s="32">
        <v>14.99</v>
      </c>
      <c r="D16" s="30">
        <f t="shared" si="2"/>
        <v>62.958</v>
      </c>
      <c r="E16" s="11"/>
      <c r="F16" s="20"/>
      <c r="G16" s="20"/>
      <c r="H16" s="20"/>
      <c r="I16" s="21"/>
      <c r="J16" s="22"/>
      <c r="K16" s="2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5.75" customHeight="1">
      <c r="A17" s="28" t="s">
        <v>24</v>
      </c>
      <c r="B17" s="31">
        <v>1.5</v>
      </c>
      <c r="C17" s="32">
        <v>16.19</v>
      </c>
      <c r="D17" s="30">
        <f t="shared" si="2"/>
        <v>24.285</v>
      </c>
      <c r="E17" s="11"/>
      <c r="F17" s="20"/>
      <c r="G17" s="20"/>
      <c r="H17" s="20"/>
      <c r="I17" s="21"/>
      <c r="J17" s="22"/>
      <c r="K17" s="2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5.75" customHeight="1">
      <c r="A18" s="28" t="s">
        <v>25</v>
      </c>
      <c r="B18" s="32">
        <v>0.6</v>
      </c>
      <c r="C18" s="32">
        <v>17.49</v>
      </c>
      <c r="D18" s="30">
        <f t="shared" si="2"/>
        <v>10.494</v>
      </c>
      <c r="E18" s="11"/>
      <c r="F18" s="20"/>
      <c r="G18" s="20"/>
      <c r="H18" s="20"/>
      <c r="I18" s="21"/>
      <c r="J18" s="22"/>
      <c r="K18" s="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8" t="s">
        <v>26</v>
      </c>
      <c r="B19" s="32">
        <v>1.95</v>
      </c>
      <c r="C19" s="32">
        <v>17.69</v>
      </c>
      <c r="D19" s="30">
        <f t="shared" si="2"/>
        <v>34.4955</v>
      </c>
      <c r="E19" s="11"/>
      <c r="F19" s="20"/>
      <c r="G19" s="20"/>
      <c r="H19" s="20"/>
      <c r="I19" s="21"/>
      <c r="J19" s="22"/>
      <c r="K19" s="2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5.75" customHeight="1">
      <c r="A20" s="28" t="s">
        <v>27</v>
      </c>
      <c r="B20" s="31">
        <v>0.3</v>
      </c>
      <c r="C20" s="32">
        <v>11.99</v>
      </c>
      <c r="D20" s="30">
        <f t="shared" si="2"/>
        <v>3.597</v>
      </c>
      <c r="E20" s="11"/>
      <c r="F20" s="20"/>
      <c r="G20" s="20"/>
      <c r="H20" s="20"/>
      <c r="I20" s="21"/>
      <c r="J20" s="22"/>
      <c r="K20" s="2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28" t="s">
        <v>28</v>
      </c>
      <c r="B21" s="31">
        <v>0.4</v>
      </c>
      <c r="C21" s="32">
        <v>24.0</v>
      </c>
      <c r="D21" s="30">
        <f t="shared" si="2"/>
        <v>9.6</v>
      </c>
      <c r="E21" s="11"/>
      <c r="F21" s="20"/>
      <c r="G21" s="20"/>
      <c r="H21" s="20"/>
      <c r="I21" s="21"/>
      <c r="J21" s="22"/>
      <c r="K21" s="2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25"/>
      <c r="B22" s="26"/>
      <c r="C22" s="26"/>
      <c r="D22" s="27"/>
      <c r="E22" s="11"/>
      <c r="F22" s="20"/>
      <c r="G22" s="20"/>
      <c r="H22" s="20"/>
      <c r="I22" s="21"/>
      <c r="J22" s="22"/>
      <c r="K22" s="2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33" t="s">
        <v>29</v>
      </c>
      <c r="B23" s="34"/>
      <c r="C23" s="34"/>
      <c r="D23" s="35">
        <f t="shared" ref="D23:D29" si="3">SUM(B23*C23)</f>
        <v>0</v>
      </c>
      <c r="E23" s="11"/>
      <c r="F23" s="20"/>
      <c r="G23" s="20"/>
      <c r="H23" s="20"/>
      <c r="I23" s="21"/>
      <c r="J23" s="22"/>
      <c r="K23" s="2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33" t="s">
        <v>30</v>
      </c>
      <c r="B24" s="36">
        <v>3.1</v>
      </c>
      <c r="C24" s="34">
        <v>14.89</v>
      </c>
      <c r="D24" s="35">
        <f t="shared" si="3"/>
        <v>46.159</v>
      </c>
      <c r="E24" s="11"/>
      <c r="F24" s="20"/>
      <c r="G24" s="20"/>
      <c r="H24" s="20"/>
      <c r="I24" s="21"/>
      <c r="J24" s="22"/>
      <c r="K24" s="2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33" t="s">
        <v>31</v>
      </c>
      <c r="B25" s="37">
        <v>0.75</v>
      </c>
      <c r="C25" s="37">
        <v>23.49</v>
      </c>
      <c r="D25" s="35">
        <f t="shared" si="3"/>
        <v>17.6175</v>
      </c>
      <c r="E25" s="11"/>
      <c r="F25" s="20"/>
      <c r="G25" s="20"/>
      <c r="H25" s="20"/>
      <c r="I25" s="21"/>
      <c r="J25" s="22"/>
      <c r="K25" s="2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33" t="s">
        <v>32</v>
      </c>
      <c r="B26" s="38">
        <v>0.3</v>
      </c>
      <c r="C26" s="37">
        <v>23.5</v>
      </c>
      <c r="D26" s="35">
        <f t="shared" si="3"/>
        <v>7.05</v>
      </c>
      <c r="E26" s="11"/>
      <c r="F26" s="20"/>
      <c r="G26" s="20"/>
      <c r="H26" s="20"/>
      <c r="I26" s="21"/>
      <c r="J26" s="22"/>
      <c r="K26" s="2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33" t="s">
        <v>33</v>
      </c>
      <c r="B27" s="38">
        <v>1.3</v>
      </c>
      <c r="C27" s="37">
        <v>18.99</v>
      </c>
      <c r="D27" s="35">
        <f t="shared" si="3"/>
        <v>24.687</v>
      </c>
      <c r="E27" s="11"/>
      <c r="F27" s="20"/>
      <c r="G27" s="20"/>
      <c r="H27" s="20"/>
      <c r="I27" s="21"/>
      <c r="J27" s="22"/>
      <c r="K27" s="2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33" t="s">
        <v>34</v>
      </c>
      <c r="B28" s="38">
        <v>7.0</v>
      </c>
      <c r="C28" s="37">
        <v>18.99</v>
      </c>
      <c r="D28" s="35">
        <f t="shared" si="3"/>
        <v>132.93</v>
      </c>
      <c r="E28" s="11"/>
      <c r="F28" s="20"/>
      <c r="G28" s="20"/>
      <c r="H28" s="20"/>
      <c r="I28" s="21"/>
      <c r="J28" s="22"/>
      <c r="K28" s="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33" t="s">
        <v>35</v>
      </c>
      <c r="B29" s="38">
        <v>5.3</v>
      </c>
      <c r="C29" s="37">
        <v>18.99</v>
      </c>
      <c r="D29" s="35">
        <f t="shared" si="3"/>
        <v>100.647</v>
      </c>
      <c r="E29" s="11"/>
      <c r="F29" s="20"/>
      <c r="G29" s="20"/>
      <c r="H29" s="20"/>
      <c r="I29" s="21"/>
      <c r="J29" s="22"/>
      <c r="K29" s="2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33" t="s">
        <v>36</v>
      </c>
      <c r="B30" s="37">
        <v>1.0</v>
      </c>
      <c r="C30" s="37">
        <v>28.99</v>
      </c>
      <c r="D30" s="35"/>
      <c r="E30" s="11"/>
      <c r="F30" s="20"/>
      <c r="G30" s="20"/>
      <c r="H30" s="20"/>
      <c r="I30" s="21"/>
      <c r="J30" s="22"/>
      <c r="K30" s="2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5"/>
      <c r="B31" s="26"/>
      <c r="C31" s="26"/>
      <c r="D31" s="27"/>
      <c r="E31" s="11"/>
      <c r="F31" s="20"/>
      <c r="G31" s="20"/>
      <c r="H31" s="20"/>
      <c r="I31" s="21"/>
      <c r="J31" s="22"/>
      <c r="K31" s="2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39" t="s">
        <v>37</v>
      </c>
      <c r="B32" s="40"/>
      <c r="C32" s="40"/>
      <c r="D32" s="41">
        <f t="shared" ref="D32:D46" si="4">SUM(B32*C32)</f>
        <v>0</v>
      </c>
      <c r="E32" s="11"/>
      <c r="F32" s="20"/>
      <c r="G32" s="20"/>
      <c r="H32" s="20"/>
      <c r="I32" s="21"/>
      <c r="J32" s="22"/>
      <c r="K32" s="22"/>
      <c r="L32" s="2"/>
      <c r="M32" s="2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39" t="s">
        <v>38</v>
      </c>
      <c r="B33" s="42">
        <v>2.5</v>
      </c>
      <c r="C33" s="43">
        <v>17.99</v>
      </c>
      <c r="D33" s="41">
        <f t="shared" si="4"/>
        <v>44.975</v>
      </c>
      <c r="E33" s="11"/>
      <c r="F33" s="20"/>
      <c r="G33" s="20"/>
      <c r="H33" s="20"/>
      <c r="I33" s="21"/>
      <c r="J33" s="22"/>
      <c r="K33" s="2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39" t="s">
        <v>39</v>
      </c>
      <c r="B34" s="42">
        <v>0.0</v>
      </c>
      <c r="C34" s="43">
        <v>17.99</v>
      </c>
      <c r="D34" s="41">
        <f t="shared" si="4"/>
        <v>0</v>
      </c>
      <c r="E34" s="11"/>
      <c r="F34" s="20"/>
      <c r="G34" s="20"/>
      <c r="H34" s="20"/>
      <c r="I34" s="21"/>
      <c r="J34" s="22"/>
      <c r="K34" s="2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39" t="s">
        <v>40</v>
      </c>
      <c r="B35" s="42">
        <v>1.6</v>
      </c>
      <c r="C35" s="43">
        <v>17.99</v>
      </c>
      <c r="D35" s="41">
        <f t="shared" si="4"/>
        <v>28.784</v>
      </c>
      <c r="E35" s="11"/>
      <c r="F35" s="20"/>
      <c r="G35" s="20"/>
      <c r="H35" s="20"/>
      <c r="I35" s="21"/>
      <c r="J35" s="22"/>
      <c r="K35" s="2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39" t="s">
        <v>41</v>
      </c>
      <c r="B36" s="42">
        <v>2.1</v>
      </c>
      <c r="C36" s="43">
        <v>16.49</v>
      </c>
      <c r="D36" s="41">
        <f t="shared" si="4"/>
        <v>34.629</v>
      </c>
      <c r="E36" s="11"/>
      <c r="F36" s="20"/>
      <c r="G36" s="20"/>
      <c r="H36" s="20"/>
      <c r="I36" s="21"/>
      <c r="J36" s="22"/>
      <c r="K36" s="2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39" t="s">
        <v>42</v>
      </c>
      <c r="B37" s="43"/>
      <c r="C37" s="43">
        <v>28.5</v>
      </c>
      <c r="D37" s="41">
        <f t="shared" si="4"/>
        <v>0</v>
      </c>
      <c r="E37" s="11"/>
      <c r="F37" s="20"/>
      <c r="G37" s="20"/>
      <c r="H37" s="20"/>
      <c r="I37" s="21"/>
      <c r="J37" s="22"/>
      <c r="K37" s="2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39" t="s">
        <v>43</v>
      </c>
      <c r="B38" s="43"/>
      <c r="C38" s="43">
        <v>23.49</v>
      </c>
      <c r="D38" s="41">
        <f t="shared" si="4"/>
        <v>0</v>
      </c>
      <c r="E38" s="11"/>
      <c r="F38" s="20"/>
      <c r="G38" s="20"/>
      <c r="H38" s="20"/>
      <c r="I38" s="21"/>
      <c r="J38" s="22"/>
      <c r="K38" s="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39" t="s">
        <v>44</v>
      </c>
      <c r="B39" s="42">
        <v>0.6</v>
      </c>
      <c r="C39" s="43">
        <v>20.99</v>
      </c>
      <c r="D39" s="41">
        <f t="shared" si="4"/>
        <v>12.594</v>
      </c>
      <c r="E39" s="11"/>
      <c r="F39" s="20"/>
      <c r="G39" s="20"/>
      <c r="H39" s="20"/>
      <c r="I39" s="21"/>
      <c r="J39" s="22"/>
      <c r="K39" s="2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39" t="s">
        <v>45</v>
      </c>
      <c r="B40" s="42">
        <v>0.8</v>
      </c>
      <c r="C40" s="43">
        <v>14.99</v>
      </c>
      <c r="D40" s="41">
        <f t="shared" si="4"/>
        <v>11.992</v>
      </c>
      <c r="E40" s="11"/>
      <c r="F40" s="20"/>
      <c r="G40" s="20"/>
      <c r="H40" s="20"/>
      <c r="I40" s="21"/>
      <c r="J40" s="22"/>
      <c r="K40" s="2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39" t="s">
        <v>46</v>
      </c>
      <c r="B41" s="43"/>
      <c r="C41" s="43">
        <v>31.99</v>
      </c>
      <c r="D41" s="41">
        <f t="shared" si="4"/>
        <v>0</v>
      </c>
      <c r="E41" s="11"/>
      <c r="F41" s="20"/>
      <c r="G41" s="20"/>
      <c r="H41" s="20"/>
      <c r="I41" s="21"/>
      <c r="J41" s="22"/>
      <c r="K41" s="2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39" t="s">
        <v>47</v>
      </c>
      <c r="B42" s="43"/>
      <c r="C42" s="43">
        <v>28.0</v>
      </c>
      <c r="D42" s="41">
        <f t="shared" si="4"/>
        <v>0</v>
      </c>
      <c r="E42" s="11"/>
      <c r="F42" s="20"/>
      <c r="G42" s="20"/>
      <c r="H42" s="20"/>
      <c r="I42" s="21"/>
      <c r="J42" s="22"/>
      <c r="K42" s="2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39" t="s">
        <v>48</v>
      </c>
      <c r="B43" s="42">
        <v>0.6</v>
      </c>
      <c r="C43" s="43">
        <v>15.99</v>
      </c>
      <c r="D43" s="41">
        <f t="shared" si="4"/>
        <v>9.594</v>
      </c>
      <c r="E43" s="11"/>
      <c r="F43" s="20"/>
      <c r="G43" s="20"/>
      <c r="H43" s="20"/>
      <c r="I43" s="21"/>
      <c r="J43" s="22"/>
      <c r="K43" s="2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39" t="s">
        <v>49</v>
      </c>
      <c r="B44" s="42">
        <v>0.8</v>
      </c>
      <c r="C44" s="43">
        <v>20.29</v>
      </c>
      <c r="D44" s="41">
        <f t="shared" si="4"/>
        <v>16.232</v>
      </c>
      <c r="E44" s="11"/>
      <c r="F44" s="20"/>
      <c r="G44" s="20"/>
      <c r="H44" s="20"/>
      <c r="I44" s="21"/>
      <c r="J44" s="22"/>
      <c r="K44" s="2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39" t="s">
        <v>50</v>
      </c>
      <c r="B45" s="42">
        <v>0.0</v>
      </c>
      <c r="C45" s="43">
        <v>12.49</v>
      </c>
      <c r="D45" s="41">
        <f t="shared" si="4"/>
        <v>0</v>
      </c>
      <c r="E45" s="11"/>
      <c r="F45" s="20"/>
      <c r="G45" s="20"/>
      <c r="H45" s="20"/>
      <c r="I45" s="21"/>
      <c r="J45" s="22"/>
      <c r="K45" s="2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39" t="s">
        <v>51</v>
      </c>
      <c r="B46" s="42">
        <v>1.9</v>
      </c>
      <c r="C46" s="43">
        <v>16.99</v>
      </c>
      <c r="D46" s="41">
        <f t="shared" si="4"/>
        <v>32.281</v>
      </c>
      <c r="E46" s="11"/>
      <c r="F46" s="20"/>
      <c r="G46" s="20"/>
      <c r="H46" s="20"/>
      <c r="I46" s="21"/>
      <c r="J46" s="22"/>
      <c r="K46" s="2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5"/>
      <c r="B47" s="26"/>
      <c r="C47" s="26"/>
      <c r="D47" s="27"/>
      <c r="E47" s="11"/>
      <c r="F47" s="20"/>
      <c r="G47" s="20"/>
      <c r="H47" s="20"/>
      <c r="I47" s="21"/>
      <c r="J47" s="22"/>
      <c r="K47" s="2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44" t="s">
        <v>52</v>
      </c>
      <c r="B48" s="45"/>
      <c r="C48" s="45"/>
      <c r="D48" s="46"/>
      <c r="E48" s="11"/>
      <c r="F48" s="20"/>
      <c r="G48" s="20"/>
      <c r="H48" s="20"/>
      <c r="I48" s="21"/>
      <c r="J48" s="22"/>
      <c r="K48" s="2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44" t="s">
        <v>53</v>
      </c>
      <c r="B49" s="47">
        <v>0.8</v>
      </c>
      <c r="C49" s="47">
        <v>16.49</v>
      </c>
      <c r="D49" s="46">
        <f t="shared" ref="D49:D65" si="5">SUM(B49*C49)</f>
        <v>13.192</v>
      </c>
      <c r="E49" s="11"/>
      <c r="F49" s="20"/>
      <c r="G49" s="20"/>
      <c r="H49" s="20"/>
      <c r="I49" s="21"/>
      <c r="J49" s="22"/>
      <c r="K49" s="2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44" t="s">
        <v>54</v>
      </c>
      <c r="B50" s="48">
        <v>3.1</v>
      </c>
      <c r="C50" s="47">
        <v>12.49</v>
      </c>
      <c r="D50" s="46">
        <f t="shared" si="5"/>
        <v>38.719</v>
      </c>
      <c r="E50" s="11"/>
      <c r="F50" s="20"/>
      <c r="G50" s="20"/>
      <c r="H50" s="20"/>
      <c r="I50" s="21"/>
      <c r="J50" s="22"/>
      <c r="K50" s="2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44" t="s">
        <v>55</v>
      </c>
      <c r="B51" s="48">
        <v>1.5</v>
      </c>
      <c r="C51" s="47">
        <v>12.49</v>
      </c>
      <c r="D51" s="46">
        <f t="shared" si="5"/>
        <v>18.735</v>
      </c>
      <c r="E51" s="11"/>
      <c r="F51" s="20"/>
      <c r="G51" s="20"/>
      <c r="H51" s="20"/>
      <c r="I51" s="21"/>
      <c r="J51" s="22"/>
      <c r="K51" s="2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44" t="s">
        <v>56</v>
      </c>
      <c r="B52" s="48">
        <v>1.5</v>
      </c>
      <c r="C52" s="47">
        <v>8.99</v>
      </c>
      <c r="D52" s="46">
        <f t="shared" si="5"/>
        <v>13.485</v>
      </c>
      <c r="E52" s="11"/>
      <c r="F52" s="20"/>
      <c r="G52" s="20"/>
      <c r="H52" s="20"/>
      <c r="I52" s="21"/>
      <c r="J52" s="22"/>
      <c r="K52" s="2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44" t="s">
        <v>57</v>
      </c>
      <c r="B53" s="47">
        <v>0.4</v>
      </c>
      <c r="C53" s="47">
        <v>11.99</v>
      </c>
      <c r="D53" s="46">
        <f t="shared" si="5"/>
        <v>4.796</v>
      </c>
      <c r="E53" s="11"/>
      <c r="F53" s="20"/>
      <c r="G53" s="20"/>
      <c r="H53" s="20"/>
      <c r="I53" s="21"/>
      <c r="J53" s="22"/>
      <c r="K53" s="2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44" t="s">
        <v>58</v>
      </c>
      <c r="B54" s="48">
        <v>1.6</v>
      </c>
      <c r="C54" s="47">
        <v>12.99</v>
      </c>
      <c r="D54" s="46">
        <f t="shared" si="5"/>
        <v>20.784</v>
      </c>
      <c r="E54" s="11"/>
      <c r="F54" s="20"/>
      <c r="G54" s="20"/>
      <c r="H54" s="20"/>
      <c r="I54" s="21"/>
      <c r="J54" s="22"/>
      <c r="K54" s="2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44" t="s">
        <v>59</v>
      </c>
      <c r="B55" s="48">
        <v>1.6</v>
      </c>
      <c r="C55" s="47">
        <v>11.99</v>
      </c>
      <c r="D55" s="46">
        <f t="shared" si="5"/>
        <v>19.184</v>
      </c>
      <c r="E55" s="11"/>
      <c r="F55" s="20"/>
      <c r="G55" s="20"/>
      <c r="H55" s="20"/>
      <c r="I55" s="21"/>
      <c r="J55" s="22"/>
      <c r="K55" s="2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44" t="s">
        <v>60</v>
      </c>
      <c r="B56" s="48">
        <v>1.3</v>
      </c>
      <c r="C56" s="47">
        <v>11.99</v>
      </c>
      <c r="D56" s="46">
        <f t="shared" si="5"/>
        <v>15.587</v>
      </c>
      <c r="E56" s="11"/>
      <c r="F56" s="20"/>
      <c r="G56" s="20"/>
      <c r="H56" s="20"/>
      <c r="I56" s="21"/>
      <c r="J56" s="22"/>
      <c r="K56" s="2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44" t="s">
        <v>61</v>
      </c>
      <c r="B57" s="48">
        <v>1.8</v>
      </c>
      <c r="C57" s="47">
        <v>12.29</v>
      </c>
      <c r="D57" s="46">
        <f t="shared" si="5"/>
        <v>22.122</v>
      </c>
      <c r="E57" s="11"/>
      <c r="F57" s="20"/>
      <c r="G57" s="20"/>
      <c r="H57" s="20"/>
      <c r="I57" s="21"/>
      <c r="J57" s="22"/>
      <c r="K57" s="2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44" t="s">
        <v>62</v>
      </c>
      <c r="B58" s="48">
        <v>2.8</v>
      </c>
      <c r="C58" s="47">
        <v>11.49</v>
      </c>
      <c r="D58" s="46">
        <f t="shared" si="5"/>
        <v>32.172</v>
      </c>
      <c r="E58" s="11"/>
      <c r="F58" s="20"/>
      <c r="G58" s="20"/>
      <c r="H58" s="20"/>
      <c r="I58" s="21"/>
      <c r="J58" s="22"/>
      <c r="K58" s="2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44" t="s">
        <v>63</v>
      </c>
      <c r="B59" s="47"/>
      <c r="C59" s="47">
        <v>9.99</v>
      </c>
      <c r="D59" s="46">
        <f t="shared" si="5"/>
        <v>0</v>
      </c>
      <c r="E59" s="11"/>
      <c r="F59" s="20"/>
      <c r="G59" s="20"/>
      <c r="H59" s="20"/>
      <c r="I59" s="21"/>
      <c r="J59" s="22"/>
      <c r="K59" s="2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44" t="s">
        <v>64</v>
      </c>
      <c r="B60" s="48">
        <v>2.1</v>
      </c>
      <c r="C60" s="47">
        <v>14.99</v>
      </c>
      <c r="D60" s="46">
        <f t="shared" si="5"/>
        <v>31.479</v>
      </c>
      <c r="E60" s="11"/>
      <c r="F60" s="20"/>
      <c r="G60" s="20"/>
      <c r="H60" s="20"/>
      <c r="I60" s="21"/>
      <c r="J60" s="22"/>
      <c r="K60" s="2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44" t="s">
        <v>65</v>
      </c>
      <c r="B61" s="48">
        <v>0.3</v>
      </c>
      <c r="C61" s="47">
        <v>11.99</v>
      </c>
      <c r="D61" s="46">
        <f t="shared" si="5"/>
        <v>3.597</v>
      </c>
      <c r="E61" s="11"/>
      <c r="F61" s="20"/>
      <c r="G61" s="20"/>
      <c r="H61" s="20"/>
      <c r="I61" s="21"/>
      <c r="J61" s="22"/>
      <c r="K61" s="2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44" t="s">
        <v>66</v>
      </c>
      <c r="B62" s="47">
        <v>1.6</v>
      </c>
      <c r="C62" s="47">
        <v>14.0</v>
      </c>
      <c r="D62" s="46">
        <f t="shared" si="5"/>
        <v>22.4</v>
      </c>
      <c r="E62" s="11"/>
      <c r="F62" s="20"/>
      <c r="G62" s="20"/>
      <c r="H62" s="20"/>
      <c r="I62" s="21"/>
      <c r="J62" s="22"/>
      <c r="K62" s="2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44" t="s">
        <v>67</v>
      </c>
      <c r="B63" s="48">
        <v>1.8</v>
      </c>
      <c r="C63" s="47">
        <v>11.99</v>
      </c>
      <c r="D63" s="46">
        <f t="shared" si="5"/>
        <v>21.582</v>
      </c>
      <c r="E63" s="11"/>
      <c r="F63" s="20"/>
      <c r="G63" s="20"/>
      <c r="H63" s="20"/>
      <c r="I63" s="21"/>
      <c r="J63" s="22"/>
      <c r="K63" s="2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44" t="s">
        <v>68</v>
      </c>
      <c r="B64" s="47">
        <v>0.65</v>
      </c>
      <c r="C64" s="47">
        <v>14.99</v>
      </c>
      <c r="D64" s="46">
        <f t="shared" si="5"/>
        <v>9.7435</v>
      </c>
      <c r="E64" s="11"/>
      <c r="F64" s="20"/>
      <c r="G64" s="20"/>
      <c r="H64" s="20"/>
      <c r="I64" s="21"/>
      <c r="J64" s="22"/>
      <c r="K64" s="2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44" t="s">
        <v>69</v>
      </c>
      <c r="B65" s="47">
        <v>1.0</v>
      </c>
      <c r="C65" s="48">
        <v>500.0</v>
      </c>
      <c r="D65" s="46">
        <f t="shared" si="5"/>
        <v>500</v>
      </c>
      <c r="E65" s="11"/>
      <c r="F65" s="20"/>
      <c r="G65" s="20"/>
      <c r="H65" s="20"/>
      <c r="I65" s="21"/>
      <c r="J65" s="22"/>
      <c r="K65" s="2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5"/>
      <c r="B66" s="26"/>
      <c r="C66" s="26"/>
      <c r="D66" s="27"/>
      <c r="E66" s="11"/>
      <c r="F66" s="20"/>
      <c r="G66" s="20"/>
      <c r="H66" s="20"/>
      <c r="I66" s="21"/>
      <c r="J66" s="22"/>
      <c r="K66" s="2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5"/>
      <c r="B67" s="26"/>
      <c r="C67" s="26"/>
      <c r="D67" s="27"/>
      <c r="E67" s="11"/>
      <c r="F67" s="20"/>
      <c r="G67" s="20"/>
      <c r="H67" s="20"/>
      <c r="I67" s="21"/>
      <c r="J67" s="22"/>
      <c r="K67" s="2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49" t="s">
        <v>70</v>
      </c>
      <c r="B68" s="50"/>
      <c r="C68" s="50"/>
      <c r="D68" s="51">
        <f t="shared" ref="D68:D70" si="6">SUM(B68*C68)</f>
        <v>0</v>
      </c>
      <c r="E68" s="11"/>
      <c r="F68" s="20"/>
      <c r="G68" s="20"/>
      <c r="H68" s="20"/>
      <c r="I68" s="21"/>
      <c r="J68" s="22"/>
      <c r="K68" s="2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49" t="s">
        <v>71</v>
      </c>
      <c r="B69" s="52"/>
      <c r="C69" s="52">
        <v>6.99</v>
      </c>
      <c r="D69" s="51">
        <f t="shared" si="6"/>
        <v>0</v>
      </c>
      <c r="E69" s="11"/>
      <c r="F69" s="20"/>
      <c r="G69" s="20"/>
      <c r="H69" s="20"/>
      <c r="I69" s="21"/>
      <c r="J69" s="22"/>
      <c r="K69" s="2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49" t="s">
        <v>72</v>
      </c>
      <c r="B70" s="52"/>
      <c r="C70" s="52">
        <v>0.0</v>
      </c>
      <c r="D70" s="51">
        <f t="shared" si="6"/>
        <v>0</v>
      </c>
      <c r="E70" s="11"/>
      <c r="F70" s="20"/>
      <c r="G70" s="20"/>
      <c r="H70" s="20"/>
      <c r="I70" s="21"/>
      <c r="J70" s="22"/>
      <c r="K70" s="2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5"/>
      <c r="B71" s="26"/>
      <c r="C71" s="26"/>
      <c r="D71" s="27"/>
      <c r="E71" s="11"/>
      <c r="F71" s="20"/>
      <c r="G71" s="20"/>
      <c r="H71" s="20"/>
      <c r="I71" s="21"/>
      <c r="J71" s="22"/>
      <c r="K71" s="2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53" t="s">
        <v>73</v>
      </c>
      <c r="B72" s="26"/>
      <c r="C72" s="26"/>
      <c r="D72" s="27"/>
      <c r="E72" s="11"/>
      <c r="F72" s="20"/>
      <c r="G72" s="20"/>
      <c r="H72" s="20"/>
      <c r="I72" s="21"/>
      <c r="J72" s="22"/>
      <c r="K72" s="2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54" t="s">
        <v>74</v>
      </c>
      <c r="B73" s="55"/>
      <c r="C73" s="55"/>
      <c r="D73" s="56">
        <f t="shared" ref="D73:D77" si="7">SUM(B73*C73)</f>
        <v>0</v>
      </c>
      <c r="E73" s="11"/>
      <c r="F73" s="20"/>
      <c r="G73" s="20"/>
      <c r="H73" s="20"/>
      <c r="I73" s="21"/>
      <c r="J73" s="22"/>
      <c r="K73" s="2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54" t="s">
        <v>75</v>
      </c>
      <c r="B74" s="57"/>
      <c r="C74" s="58">
        <v>0.0</v>
      </c>
      <c r="D74" s="56">
        <f t="shared" si="7"/>
        <v>0</v>
      </c>
      <c r="E74" s="11"/>
      <c r="F74" s="20"/>
      <c r="G74" s="20"/>
      <c r="H74" s="20"/>
      <c r="I74" s="21"/>
      <c r="J74" s="22"/>
      <c r="K74" s="22"/>
      <c r="L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54" t="s">
        <v>76</v>
      </c>
      <c r="B75" s="58">
        <v>9.9</v>
      </c>
      <c r="C75" s="57">
        <v>6.71</v>
      </c>
      <c r="D75" s="56">
        <f t="shared" si="7"/>
        <v>66.429</v>
      </c>
      <c r="E75" s="11"/>
      <c r="F75" s="20"/>
      <c r="G75" s="20"/>
      <c r="H75" s="20"/>
      <c r="I75" s="21"/>
      <c r="J75" s="22"/>
      <c r="K75" s="22"/>
      <c r="L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54" t="s">
        <v>77</v>
      </c>
      <c r="B76" s="58">
        <v>8.1</v>
      </c>
      <c r="C76" s="55">
        <v>5.39</v>
      </c>
      <c r="D76" s="56">
        <f t="shared" si="7"/>
        <v>43.659</v>
      </c>
      <c r="E76" s="11"/>
      <c r="F76" s="20"/>
      <c r="G76" s="20"/>
      <c r="H76" s="20"/>
      <c r="I76" s="21"/>
      <c r="J76" s="22"/>
      <c r="K76" s="22"/>
      <c r="L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54"/>
      <c r="B77" s="57"/>
      <c r="C77" s="57"/>
      <c r="D77" s="56">
        <f t="shared" si="7"/>
        <v>0</v>
      </c>
      <c r="E77" s="11"/>
      <c r="F77" s="20"/>
      <c r="G77" s="20"/>
      <c r="H77" s="20"/>
      <c r="I77" s="21"/>
      <c r="J77" s="22"/>
      <c r="K77" s="22"/>
      <c r="L77" s="2"/>
      <c r="M77" s="59" t="s">
        <v>78</v>
      </c>
      <c r="N77" s="13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60"/>
      <c r="B78" s="61"/>
      <c r="C78" s="61"/>
      <c r="D78" s="27"/>
      <c r="E78" s="11"/>
      <c r="F78" s="20"/>
      <c r="G78" s="20"/>
      <c r="H78" s="20"/>
      <c r="I78" s="21"/>
      <c r="J78" s="22"/>
      <c r="K78" s="22"/>
      <c r="L78" s="2"/>
      <c r="M78" s="62" t="s">
        <v>8</v>
      </c>
      <c r="N78" s="62" t="s">
        <v>9</v>
      </c>
      <c r="O78" s="62" t="s">
        <v>10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63" t="s">
        <v>79</v>
      </c>
      <c r="B79" s="64"/>
      <c r="C79" s="64"/>
      <c r="D79" s="65"/>
      <c r="E79" s="11"/>
      <c r="F79" s="20"/>
      <c r="G79" s="20"/>
      <c r="H79" s="20"/>
      <c r="I79" s="21"/>
      <c r="J79" s="22"/>
      <c r="K79" s="22"/>
      <c r="L79" s="2"/>
      <c r="M79" s="62" t="s">
        <v>80</v>
      </c>
      <c r="N79" s="62"/>
      <c r="O79" s="62">
        <f>SUM(175/750)*N79</f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63" t="s">
        <v>81</v>
      </c>
      <c r="B80" s="66">
        <v>23.0</v>
      </c>
      <c r="C80" s="64">
        <v>7.25</v>
      </c>
      <c r="D80" s="65">
        <f t="shared" ref="D80:D83" si="8">SUM(B80*C80)</f>
        <v>166.75</v>
      </c>
      <c r="E80" s="11"/>
      <c r="F80" s="20"/>
      <c r="G80" s="20"/>
      <c r="H80" s="20"/>
      <c r="I80" s="21"/>
      <c r="J80" s="22"/>
      <c r="K80" s="22"/>
      <c r="L80" s="2"/>
      <c r="M80" s="62"/>
      <c r="N80" s="62" t="s">
        <v>21</v>
      </c>
      <c r="O80" s="62" t="str">
        <f>SUM(O79+#REF!)</f>
        <v>#REF!</v>
      </c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63" t="s">
        <v>82</v>
      </c>
      <c r="B81" s="66">
        <v>0.3</v>
      </c>
      <c r="C81" s="64">
        <v>5.45</v>
      </c>
      <c r="D81" s="65">
        <f t="shared" si="8"/>
        <v>1.635</v>
      </c>
      <c r="E81" s="11"/>
      <c r="F81" s="20"/>
      <c r="G81" s="20"/>
      <c r="H81" s="20"/>
      <c r="I81" s="21"/>
      <c r="J81" s="22"/>
      <c r="K81" s="22"/>
      <c r="L81" s="2"/>
      <c r="M81" s="67"/>
      <c r="N81" s="67"/>
      <c r="O81" s="67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63" t="s">
        <v>83</v>
      </c>
      <c r="B82" s="66">
        <v>27.8</v>
      </c>
      <c r="C82" s="64">
        <v>5.88</v>
      </c>
      <c r="D82" s="65">
        <f t="shared" si="8"/>
        <v>163.464</v>
      </c>
      <c r="E82" s="11"/>
      <c r="F82" s="20"/>
      <c r="G82" s="20"/>
      <c r="H82" s="20"/>
      <c r="I82" s="21"/>
      <c r="J82" s="22"/>
      <c r="K82" s="22"/>
      <c r="L82" s="2"/>
      <c r="M82" s="67"/>
      <c r="N82" s="67"/>
      <c r="O82" s="67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63" t="s">
        <v>84</v>
      </c>
      <c r="B83" s="66">
        <v>0.0</v>
      </c>
      <c r="C83" s="66">
        <v>0.0</v>
      </c>
      <c r="D83" s="65">
        <f t="shared" si="8"/>
        <v>0</v>
      </c>
      <c r="E83" s="11"/>
      <c r="F83" s="20"/>
      <c r="G83" s="20"/>
      <c r="H83" s="20"/>
      <c r="I83" s="21"/>
      <c r="J83" s="22"/>
      <c r="K83" s="2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53"/>
      <c r="B84" s="61"/>
      <c r="C84" s="61"/>
      <c r="D84" s="27"/>
      <c r="E84" s="11"/>
      <c r="F84" s="20"/>
      <c r="G84" s="20"/>
      <c r="H84" s="20"/>
      <c r="I84" s="21"/>
      <c r="J84" s="22"/>
      <c r="K84" s="2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68" t="s">
        <v>85</v>
      </c>
      <c r="B85" s="69"/>
      <c r="C85" s="69"/>
      <c r="D85" s="70"/>
      <c r="E85" s="11"/>
      <c r="F85" s="20"/>
      <c r="G85" s="20"/>
      <c r="H85" s="20"/>
      <c r="I85" s="21"/>
      <c r="J85" s="22"/>
      <c r="K85" s="2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68" t="s">
        <v>86</v>
      </c>
      <c r="B86" s="71">
        <v>28.3</v>
      </c>
      <c r="C86" s="69">
        <v>5.53</v>
      </c>
      <c r="D86" s="70">
        <f t="shared" ref="D86:D87" si="9">SUM(B86*C86)</f>
        <v>156.499</v>
      </c>
      <c r="E86" s="11"/>
      <c r="F86" s="20"/>
      <c r="G86" s="20"/>
      <c r="H86" s="20"/>
      <c r="I86" s="21"/>
      <c r="J86" s="22"/>
      <c r="K86" s="2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68" t="s">
        <v>87</v>
      </c>
      <c r="B87" s="71">
        <v>27.0</v>
      </c>
      <c r="C87" s="69">
        <v>5.96</v>
      </c>
      <c r="D87" s="70">
        <f t="shared" si="9"/>
        <v>160.92</v>
      </c>
      <c r="E87" s="11"/>
      <c r="F87" s="20"/>
      <c r="G87" s="20"/>
      <c r="H87" s="20"/>
      <c r="I87" s="21"/>
      <c r="J87" s="22"/>
      <c r="K87" s="2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53"/>
      <c r="B88" s="61"/>
      <c r="C88" s="61"/>
      <c r="D88" s="27"/>
      <c r="E88" s="11"/>
      <c r="F88" s="20"/>
      <c r="G88" s="20"/>
      <c r="H88" s="20"/>
      <c r="I88" s="21"/>
      <c r="J88" s="22"/>
      <c r="K88" s="2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72" t="s">
        <v>88</v>
      </c>
      <c r="B89" s="73"/>
      <c r="C89" s="73"/>
      <c r="D89" s="74"/>
      <c r="E89" s="11"/>
      <c r="F89" s="20"/>
      <c r="G89" s="20"/>
      <c r="H89" s="20"/>
      <c r="I89" s="21"/>
      <c r="J89" s="22"/>
      <c r="K89" s="2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72" t="s">
        <v>89</v>
      </c>
      <c r="B90" s="75">
        <v>17.0</v>
      </c>
      <c r="C90" s="76">
        <v>6.99</v>
      </c>
      <c r="D90" s="74">
        <f t="shared" ref="D90:D92" si="10">SUM(B90*C90)</f>
        <v>118.83</v>
      </c>
      <c r="E90" s="11"/>
      <c r="F90" s="20"/>
      <c r="G90" s="20"/>
      <c r="H90" s="20"/>
      <c r="I90" s="21"/>
      <c r="J90" s="22"/>
      <c r="K90" s="22"/>
      <c r="L90" s="2"/>
      <c r="M90" s="77"/>
      <c r="N90" s="77"/>
      <c r="O90" s="7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72" t="s">
        <v>90</v>
      </c>
      <c r="B91" s="75">
        <v>8.0</v>
      </c>
      <c r="C91" s="76">
        <v>7.16</v>
      </c>
      <c r="D91" s="74">
        <f t="shared" si="10"/>
        <v>57.28</v>
      </c>
      <c r="E91" s="11"/>
      <c r="F91" s="20"/>
      <c r="G91" s="20"/>
      <c r="H91" s="20"/>
      <c r="I91" s="21"/>
      <c r="J91" s="22"/>
      <c r="K91" s="22"/>
      <c r="L91" s="2"/>
      <c r="M91" s="77"/>
      <c r="N91" s="77"/>
      <c r="O91" s="7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72" t="s">
        <v>91</v>
      </c>
      <c r="B92" s="75">
        <v>16.8</v>
      </c>
      <c r="C92" s="76">
        <v>5.66</v>
      </c>
      <c r="D92" s="74">
        <f t="shared" si="10"/>
        <v>95.088</v>
      </c>
      <c r="E92" s="11"/>
      <c r="F92" s="20"/>
      <c r="G92" s="20"/>
      <c r="H92" s="20"/>
      <c r="I92" s="21"/>
      <c r="J92" s="22"/>
      <c r="K92" s="22"/>
      <c r="L92" s="2"/>
      <c r="M92" s="77"/>
      <c r="N92" s="77"/>
      <c r="O92" s="77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5"/>
      <c r="B93" s="26"/>
      <c r="C93" s="26"/>
      <c r="D93" s="27"/>
      <c r="E93" s="11"/>
      <c r="F93" s="20"/>
      <c r="G93" s="20"/>
      <c r="H93" s="20"/>
      <c r="I93" s="21"/>
      <c r="J93" s="22"/>
      <c r="K93" s="22"/>
      <c r="L93" s="2"/>
      <c r="M93" s="78" t="s">
        <v>92</v>
      </c>
      <c r="N93" s="78"/>
      <c r="O93" s="78">
        <f>SUM(125/750)*N93</f>
        <v>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79" t="s">
        <v>93</v>
      </c>
      <c r="B94" s="80"/>
      <c r="C94" s="80"/>
      <c r="D94" s="81"/>
      <c r="E94" s="11"/>
      <c r="F94" s="20"/>
      <c r="G94" s="20"/>
      <c r="H94" s="20"/>
      <c r="I94" s="21"/>
      <c r="J94" s="22"/>
      <c r="K94" s="2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79" t="s">
        <v>94</v>
      </c>
      <c r="B95" s="82">
        <v>4.0</v>
      </c>
      <c r="C95" s="83">
        <v>1.09</v>
      </c>
      <c r="D95" s="81">
        <f t="shared" ref="D95:D108" si="11">SUM(B95*C95)</f>
        <v>4.36</v>
      </c>
      <c r="E95" s="1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79" t="s">
        <v>95</v>
      </c>
      <c r="B96" s="82">
        <v>11.5</v>
      </c>
      <c r="C96" s="83">
        <v>1.16</v>
      </c>
      <c r="D96" s="81">
        <f t="shared" si="11"/>
        <v>13.34</v>
      </c>
      <c r="E96" s="1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79" t="s">
        <v>96</v>
      </c>
      <c r="B97" s="83">
        <v>2.6</v>
      </c>
      <c r="C97" s="83">
        <v>2.99</v>
      </c>
      <c r="D97" s="81">
        <f t="shared" si="11"/>
        <v>7.774</v>
      </c>
      <c r="E97" s="11"/>
      <c r="F97" s="20"/>
      <c r="G97" s="20"/>
      <c r="H97" s="20"/>
      <c r="I97" s="84"/>
      <c r="J97" s="84"/>
      <c r="K97" s="8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79" t="s">
        <v>97</v>
      </c>
      <c r="B98" s="82">
        <v>8.4</v>
      </c>
      <c r="C98" s="83">
        <v>2.99</v>
      </c>
      <c r="D98" s="81">
        <f t="shared" si="11"/>
        <v>25.116</v>
      </c>
      <c r="E98" s="11"/>
      <c r="F98" s="20"/>
      <c r="G98" s="20"/>
      <c r="H98" s="20"/>
      <c r="I98" s="84"/>
      <c r="J98" s="84"/>
      <c r="K98" s="8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79" t="s">
        <v>98</v>
      </c>
      <c r="B99" s="82">
        <v>7.0</v>
      </c>
      <c r="C99" s="83">
        <v>2.99</v>
      </c>
      <c r="D99" s="81">
        <f t="shared" si="11"/>
        <v>20.93</v>
      </c>
      <c r="E99" s="11"/>
      <c r="F99" s="20"/>
      <c r="G99" s="20"/>
      <c r="H99" s="20"/>
      <c r="I99" s="84"/>
      <c r="J99" s="84"/>
      <c r="K99" s="8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79" t="s">
        <v>99</v>
      </c>
      <c r="B100" s="82">
        <v>5.4</v>
      </c>
      <c r="C100" s="83">
        <v>0.75</v>
      </c>
      <c r="D100" s="81">
        <f t="shared" si="11"/>
        <v>4.05</v>
      </c>
      <c r="E100" s="11"/>
      <c r="F100" s="20"/>
      <c r="G100" s="20"/>
      <c r="H100" s="20"/>
      <c r="I100" s="84"/>
      <c r="J100" s="84"/>
      <c r="K100" s="8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79" t="s">
        <v>100</v>
      </c>
      <c r="B101" s="82">
        <v>32.0</v>
      </c>
      <c r="C101" s="83">
        <v>0.7</v>
      </c>
      <c r="D101" s="81">
        <f t="shared" si="11"/>
        <v>22.4</v>
      </c>
      <c r="E101" s="11"/>
      <c r="F101" s="20"/>
      <c r="G101" s="20"/>
      <c r="H101" s="20"/>
      <c r="I101" s="84"/>
      <c r="J101" s="84"/>
      <c r="K101" s="8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79" t="s">
        <v>101</v>
      </c>
      <c r="B102" s="82">
        <v>14.0</v>
      </c>
      <c r="C102" s="83">
        <v>0.7</v>
      </c>
      <c r="D102" s="81">
        <f t="shared" si="11"/>
        <v>9.8</v>
      </c>
      <c r="E102" s="11"/>
      <c r="F102" s="20"/>
      <c r="G102" s="20"/>
      <c r="H102" s="20"/>
      <c r="I102" s="84"/>
      <c r="J102" s="84"/>
      <c r="K102" s="8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79" t="s">
        <v>102</v>
      </c>
      <c r="B103" s="82">
        <v>70.0</v>
      </c>
      <c r="C103" s="83">
        <v>0.94</v>
      </c>
      <c r="D103" s="81">
        <f t="shared" si="11"/>
        <v>65.8</v>
      </c>
      <c r="E103" s="11"/>
      <c r="F103" s="20"/>
      <c r="G103" s="20"/>
      <c r="H103" s="20"/>
      <c r="I103" s="84"/>
      <c r="J103" s="84"/>
      <c r="K103" s="8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79" t="s">
        <v>103</v>
      </c>
      <c r="B104" s="82">
        <v>8.0</v>
      </c>
      <c r="C104" s="83">
        <v>1.24</v>
      </c>
      <c r="D104" s="81">
        <f t="shared" si="11"/>
        <v>9.92</v>
      </c>
      <c r="E104" s="11"/>
      <c r="F104" s="20"/>
      <c r="G104" s="20"/>
      <c r="H104" s="20"/>
      <c r="I104" s="84"/>
      <c r="J104" s="84"/>
      <c r="K104" s="8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79" t="s">
        <v>104</v>
      </c>
      <c r="B105" s="83">
        <v>7.0</v>
      </c>
      <c r="C105" s="83">
        <v>5.05</v>
      </c>
      <c r="D105" s="81">
        <f t="shared" si="11"/>
        <v>35.35</v>
      </c>
      <c r="E105" s="11"/>
      <c r="F105" s="20"/>
      <c r="G105" s="20"/>
      <c r="H105" s="20"/>
      <c r="I105" s="84"/>
      <c r="J105" s="84"/>
      <c r="K105" s="8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79" t="s">
        <v>105</v>
      </c>
      <c r="B106" s="83">
        <v>0.0</v>
      </c>
      <c r="C106" s="83">
        <v>0.15</v>
      </c>
      <c r="D106" s="81">
        <f t="shared" si="11"/>
        <v>0</v>
      </c>
      <c r="E106" s="11"/>
      <c r="F106" s="20"/>
      <c r="G106" s="20"/>
      <c r="H106" s="20"/>
      <c r="I106" s="84"/>
      <c r="J106" s="84"/>
      <c r="K106" s="84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79" t="s">
        <v>106</v>
      </c>
      <c r="B107" s="83">
        <v>0.0</v>
      </c>
      <c r="C107" s="83">
        <v>0.55</v>
      </c>
      <c r="D107" s="81">
        <f t="shared" si="11"/>
        <v>0</v>
      </c>
      <c r="E107" s="11"/>
      <c r="F107" s="20"/>
      <c r="G107" s="20"/>
      <c r="H107" s="20"/>
      <c r="I107" s="84"/>
      <c r="J107" s="84"/>
      <c r="K107" s="8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79"/>
      <c r="B108" s="83"/>
      <c r="C108" s="83"/>
      <c r="D108" s="81">
        <f t="shared" si="11"/>
        <v>0</v>
      </c>
      <c r="E108" s="11"/>
      <c r="F108" s="20"/>
      <c r="G108" s="20"/>
      <c r="H108" s="20"/>
      <c r="I108" s="84"/>
      <c r="J108" s="84"/>
      <c r="K108" s="8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5" t="s">
        <v>73</v>
      </c>
      <c r="B109" s="86"/>
      <c r="C109" s="87"/>
      <c r="D109" s="27"/>
      <c r="E109" s="11"/>
      <c r="F109" s="20"/>
      <c r="G109" s="20"/>
      <c r="H109" s="20"/>
      <c r="I109" s="21"/>
      <c r="J109" s="22"/>
      <c r="K109" s="22"/>
      <c r="L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8" t="s">
        <v>74</v>
      </c>
      <c r="B110" s="89"/>
      <c r="C110" s="90"/>
      <c r="D110" s="81">
        <f t="shared" ref="D110:D112" si="12">SUM(B110*C110)</f>
        <v>0</v>
      </c>
      <c r="E110" s="11"/>
      <c r="F110" s="20"/>
      <c r="G110" s="20"/>
      <c r="H110" s="20"/>
      <c r="I110" s="21"/>
      <c r="J110" s="22"/>
      <c r="K110" s="22"/>
      <c r="L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8" t="s">
        <v>107</v>
      </c>
      <c r="B111" s="91"/>
      <c r="C111" s="92">
        <v>5.98</v>
      </c>
      <c r="D111" s="81">
        <f t="shared" si="12"/>
        <v>0</v>
      </c>
      <c r="E111" s="11"/>
      <c r="F111" s="20"/>
      <c r="G111" s="20"/>
      <c r="H111" s="20"/>
      <c r="I111" s="21"/>
      <c r="J111" s="22"/>
      <c r="K111" s="22"/>
      <c r="L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8" t="s">
        <v>108</v>
      </c>
      <c r="B112" s="91"/>
      <c r="C112" s="92">
        <v>7.23</v>
      </c>
      <c r="D112" s="81">
        <f t="shared" si="12"/>
        <v>0</v>
      </c>
      <c r="E112" s="11"/>
      <c r="F112" s="20"/>
      <c r="G112" s="20"/>
      <c r="H112" s="20"/>
      <c r="I112" s="21"/>
      <c r="J112" s="22"/>
      <c r="K112" s="22"/>
      <c r="L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60"/>
      <c r="B113" s="26"/>
      <c r="C113" s="26"/>
      <c r="D113" s="27"/>
      <c r="E113" s="11"/>
      <c r="F113" s="20"/>
      <c r="G113" s="20"/>
      <c r="H113" s="20"/>
      <c r="I113" s="21"/>
      <c r="J113" s="22"/>
      <c r="K113" s="22"/>
      <c r="L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93" t="s">
        <v>79</v>
      </c>
      <c r="B114" s="94"/>
      <c r="C114" s="95"/>
      <c r="D114" s="81">
        <f t="shared" ref="D114:D117" si="13">SUM(B114*C114)</f>
        <v>0</v>
      </c>
      <c r="E114" s="11"/>
      <c r="F114" s="20"/>
      <c r="G114" s="20"/>
      <c r="H114" s="20"/>
      <c r="I114" s="21"/>
      <c r="J114" s="22"/>
      <c r="K114" s="22"/>
      <c r="L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93" t="s">
        <v>109</v>
      </c>
      <c r="B115" s="94">
        <v>7.0</v>
      </c>
      <c r="C115" s="95">
        <v>5.41</v>
      </c>
      <c r="D115" s="81">
        <f t="shared" si="13"/>
        <v>37.87</v>
      </c>
      <c r="E115" s="11"/>
      <c r="F115" s="20"/>
      <c r="G115" s="20"/>
      <c r="H115" s="20"/>
      <c r="I115" s="21"/>
      <c r="J115" s="22"/>
      <c r="K115" s="22"/>
      <c r="L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93" t="s">
        <v>110</v>
      </c>
      <c r="B116" s="94"/>
      <c r="C116" s="95">
        <v>5.8</v>
      </c>
      <c r="D116" s="81">
        <f t="shared" si="13"/>
        <v>0</v>
      </c>
      <c r="E116" s="11"/>
      <c r="F116" s="20"/>
      <c r="G116" s="20"/>
      <c r="H116" s="20"/>
      <c r="I116" s="21"/>
      <c r="J116" s="22"/>
      <c r="K116" s="22"/>
      <c r="L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93" t="s">
        <v>111</v>
      </c>
      <c r="B117" s="94"/>
      <c r="C117" s="95">
        <v>7.0</v>
      </c>
      <c r="D117" s="81">
        <f t="shared" si="13"/>
        <v>0</v>
      </c>
      <c r="E117" s="11"/>
      <c r="F117" s="20"/>
      <c r="G117" s="20"/>
      <c r="H117" s="20"/>
      <c r="I117" s="21"/>
      <c r="J117" s="22"/>
      <c r="K117" s="22"/>
      <c r="L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60"/>
      <c r="B118" s="26"/>
      <c r="C118" s="26"/>
      <c r="D118" s="27"/>
      <c r="E118" s="11"/>
      <c r="F118" s="20"/>
      <c r="G118" s="20"/>
      <c r="H118" s="20"/>
      <c r="I118" s="21"/>
      <c r="J118" s="22"/>
      <c r="K118" s="22"/>
      <c r="L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96" t="s">
        <v>85</v>
      </c>
      <c r="B119" s="97"/>
      <c r="C119" s="98"/>
      <c r="D119" s="81">
        <f t="shared" ref="D119:D121" si="14">SUM(B119*C119)</f>
        <v>0</v>
      </c>
      <c r="E119" s="11"/>
      <c r="F119" s="20"/>
      <c r="G119" s="20"/>
      <c r="H119" s="20"/>
      <c r="I119" s="21"/>
      <c r="J119" s="22"/>
      <c r="K119" s="22"/>
      <c r="L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96" t="s">
        <v>112</v>
      </c>
      <c r="B120" s="97"/>
      <c r="C120" s="98">
        <v>5.35</v>
      </c>
      <c r="D120" s="81">
        <f t="shared" si="14"/>
        <v>0</v>
      </c>
      <c r="E120" s="11"/>
      <c r="F120" s="20"/>
      <c r="G120" s="20"/>
      <c r="H120" s="20"/>
      <c r="I120" s="21"/>
      <c r="J120" s="22"/>
      <c r="K120" s="22"/>
      <c r="L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96" t="s">
        <v>113</v>
      </c>
      <c r="B121" s="97"/>
      <c r="C121" s="98">
        <v>5.8</v>
      </c>
      <c r="D121" s="81">
        <f t="shared" si="14"/>
        <v>0</v>
      </c>
      <c r="E121" s="11"/>
      <c r="F121" s="20"/>
      <c r="G121" s="20"/>
      <c r="H121" s="20"/>
      <c r="I121" s="21"/>
      <c r="J121" s="22"/>
      <c r="K121" s="22"/>
      <c r="L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5"/>
      <c r="B122" s="99"/>
      <c r="C122" s="100"/>
      <c r="D122" s="27"/>
      <c r="E122" s="101"/>
      <c r="F122" s="20"/>
      <c r="G122" s="20"/>
      <c r="H122" s="20"/>
      <c r="I122" s="21"/>
      <c r="J122" s="22"/>
      <c r="K122" s="22"/>
      <c r="L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02" t="s">
        <v>88</v>
      </c>
      <c r="B123" s="103"/>
      <c r="C123" s="104"/>
      <c r="D123" s="81">
        <f t="shared" ref="D123:D127" si="15">SUM(B123*C123)</f>
        <v>0</v>
      </c>
      <c r="E123" s="101"/>
      <c r="F123" s="20"/>
      <c r="G123" s="20"/>
      <c r="H123" s="20"/>
      <c r="I123" s="21"/>
      <c r="J123" s="22"/>
      <c r="K123" s="22"/>
      <c r="L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02" t="s">
        <v>114</v>
      </c>
      <c r="B124" s="103"/>
      <c r="C124" s="105">
        <v>6.92</v>
      </c>
      <c r="D124" s="81">
        <f t="shared" si="15"/>
        <v>0</v>
      </c>
      <c r="E124" s="101"/>
      <c r="F124" s="20"/>
      <c r="G124" s="20"/>
      <c r="H124" s="20"/>
      <c r="I124" s="21"/>
      <c r="J124" s="22"/>
      <c r="K124" s="22"/>
      <c r="L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02" t="s">
        <v>115</v>
      </c>
      <c r="B125" s="103"/>
      <c r="C125" s="105">
        <v>7.21</v>
      </c>
      <c r="D125" s="81">
        <f t="shared" si="15"/>
        <v>0</v>
      </c>
      <c r="E125" s="101"/>
      <c r="F125" s="20"/>
      <c r="G125" s="20"/>
      <c r="H125" s="20"/>
      <c r="I125" s="21"/>
      <c r="J125" s="22"/>
      <c r="K125" s="22"/>
      <c r="L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02" t="s">
        <v>116</v>
      </c>
      <c r="B126" s="103"/>
      <c r="C126" s="105">
        <v>5.74</v>
      </c>
      <c r="D126" s="81">
        <f t="shared" si="15"/>
        <v>0</v>
      </c>
      <c r="E126" s="101"/>
      <c r="F126" s="20"/>
      <c r="G126" s="20"/>
      <c r="H126" s="20"/>
      <c r="I126" s="21"/>
      <c r="J126" s="22"/>
      <c r="K126" s="22"/>
      <c r="L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02" t="s">
        <v>117</v>
      </c>
      <c r="B127" s="103"/>
      <c r="C127" s="105">
        <v>7.0</v>
      </c>
      <c r="D127" s="81">
        <f t="shared" si="15"/>
        <v>0</v>
      </c>
      <c r="E127" s="101"/>
      <c r="F127" s="20"/>
      <c r="G127" s="20"/>
      <c r="H127" s="20"/>
      <c r="I127" s="21"/>
      <c r="J127" s="22"/>
      <c r="K127" s="22"/>
      <c r="L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5"/>
      <c r="B128" s="99"/>
      <c r="C128" s="100"/>
      <c r="D128" s="106"/>
      <c r="E128" s="101"/>
      <c r="F128" s="20"/>
      <c r="G128" s="20"/>
      <c r="H128" s="20"/>
      <c r="I128" s="21"/>
      <c r="J128" s="22"/>
      <c r="K128" s="22"/>
      <c r="L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07" t="s">
        <v>118</v>
      </c>
      <c r="B129" s="108"/>
      <c r="C129" s="108"/>
      <c r="D129" s="109"/>
      <c r="E129" s="11"/>
      <c r="F129" s="20"/>
      <c r="G129" s="20"/>
      <c r="H129" s="20"/>
      <c r="I129" s="21"/>
      <c r="J129" s="22"/>
      <c r="K129" s="22"/>
      <c r="L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07" t="s">
        <v>119</v>
      </c>
      <c r="B130" s="110">
        <v>29.0</v>
      </c>
      <c r="C130" s="111">
        <v>1.37</v>
      </c>
      <c r="D130" s="109">
        <f t="shared" ref="D130:D141" si="16">SUM(B130*C130)</f>
        <v>39.73</v>
      </c>
      <c r="E130" s="11"/>
      <c r="F130" s="20"/>
      <c r="G130" s="85"/>
      <c r="H130" s="86"/>
      <c r="I130" s="86"/>
      <c r="J130" s="86"/>
      <c r="K130" s="86"/>
      <c r="L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07" t="s">
        <v>120</v>
      </c>
      <c r="B131" s="110">
        <v>32.0</v>
      </c>
      <c r="C131" s="111">
        <v>1.37</v>
      </c>
      <c r="D131" s="109">
        <f t="shared" si="16"/>
        <v>43.84</v>
      </c>
      <c r="E131" s="11"/>
      <c r="F131" s="20"/>
      <c r="G131" s="88"/>
      <c r="H131" s="86"/>
      <c r="I131" s="86"/>
      <c r="J131" s="86"/>
      <c r="K131" s="86"/>
      <c r="L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07" t="s">
        <v>121</v>
      </c>
      <c r="B132" s="111">
        <v>35.0</v>
      </c>
      <c r="C132" s="111">
        <v>1.19</v>
      </c>
      <c r="D132" s="109">
        <f t="shared" si="16"/>
        <v>41.65</v>
      </c>
      <c r="E132" s="11"/>
      <c r="F132" s="20"/>
      <c r="G132" s="88"/>
      <c r="H132" s="86"/>
      <c r="I132" s="86"/>
      <c r="J132" s="86"/>
      <c r="K132" s="86"/>
      <c r="L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07" t="s">
        <v>122</v>
      </c>
      <c r="B133" s="110">
        <v>10.0</v>
      </c>
      <c r="C133" s="111">
        <v>1.08</v>
      </c>
      <c r="D133" s="109">
        <f t="shared" si="16"/>
        <v>10.8</v>
      </c>
      <c r="E133" s="11"/>
      <c r="F133" s="20"/>
      <c r="G133" s="88"/>
      <c r="H133" s="86"/>
      <c r="I133" s="86"/>
      <c r="J133" s="86"/>
      <c r="K133" s="86"/>
      <c r="L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07" t="s">
        <v>123</v>
      </c>
      <c r="B134" s="110">
        <v>15.0</v>
      </c>
      <c r="C134" s="111">
        <v>0.94</v>
      </c>
      <c r="D134" s="109">
        <f t="shared" si="16"/>
        <v>14.1</v>
      </c>
      <c r="E134" s="11"/>
      <c r="F134" s="20"/>
      <c r="G134" s="85"/>
      <c r="H134" s="99"/>
      <c r="I134" s="100"/>
      <c r="J134" s="106"/>
      <c r="K134" s="22"/>
      <c r="L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107" t="s">
        <v>124</v>
      </c>
      <c r="B135" s="110">
        <v>0.0</v>
      </c>
      <c r="C135" s="111">
        <v>1.7</v>
      </c>
      <c r="D135" s="109">
        <f t="shared" si="16"/>
        <v>0</v>
      </c>
      <c r="E135" s="11"/>
      <c r="F135" s="20"/>
      <c r="G135" s="85"/>
      <c r="H135" s="99"/>
      <c r="I135" s="100"/>
      <c r="J135" s="106"/>
      <c r="K135" s="22"/>
      <c r="L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07" t="s">
        <v>125</v>
      </c>
      <c r="B136" s="110">
        <v>45.0</v>
      </c>
      <c r="C136" s="111">
        <v>1.02</v>
      </c>
      <c r="D136" s="109">
        <f t="shared" si="16"/>
        <v>45.9</v>
      </c>
      <c r="E136" s="11"/>
      <c r="F136" s="20"/>
      <c r="G136" s="85"/>
      <c r="H136" s="99"/>
      <c r="I136" s="100"/>
      <c r="J136" s="106"/>
      <c r="K136" s="22"/>
      <c r="L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107" t="s">
        <v>126</v>
      </c>
      <c r="B137" s="111">
        <v>213.0</v>
      </c>
      <c r="C137" s="111">
        <v>1.33</v>
      </c>
      <c r="D137" s="109">
        <f t="shared" si="16"/>
        <v>283.29</v>
      </c>
      <c r="E137" s="11"/>
      <c r="F137" s="20"/>
      <c r="G137" s="85"/>
      <c r="H137" s="99"/>
      <c r="I137" s="100"/>
      <c r="J137" s="106"/>
      <c r="K137" s="22"/>
      <c r="L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07" t="s">
        <v>127</v>
      </c>
      <c r="B138" s="111">
        <v>0.0</v>
      </c>
      <c r="C138" s="111">
        <v>0.89</v>
      </c>
      <c r="D138" s="109">
        <f t="shared" si="16"/>
        <v>0</v>
      </c>
      <c r="E138" s="11"/>
      <c r="F138" s="20"/>
      <c r="G138" s="85"/>
      <c r="H138" s="99"/>
      <c r="I138" s="100"/>
      <c r="J138" s="106"/>
      <c r="K138" s="22"/>
      <c r="L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07" t="s">
        <v>128</v>
      </c>
      <c r="B139" s="111">
        <v>0.0</v>
      </c>
      <c r="C139" s="111">
        <v>1.5</v>
      </c>
      <c r="D139" s="109">
        <f t="shared" si="16"/>
        <v>0</v>
      </c>
      <c r="E139" s="11"/>
      <c r="F139" s="20"/>
      <c r="G139" s="96"/>
      <c r="H139" s="97"/>
      <c r="I139" s="98"/>
      <c r="J139" s="112"/>
      <c r="K139" s="22"/>
      <c r="L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07" t="s">
        <v>129</v>
      </c>
      <c r="B140" s="110">
        <v>0.0</v>
      </c>
      <c r="C140" s="111">
        <v>1.7</v>
      </c>
      <c r="D140" s="109">
        <f t="shared" si="16"/>
        <v>0</v>
      </c>
      <c r="E140" s="11"/>
      <c r="F140" s="20"/>
      <c r="G140" s="96"/>
      <c r="H140" s="97"/>
      <c r="I140" s="98"/>
      <c r="J140" s="112"/>
      <c r="K140" s="22"/>
      <c r="L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107" t="s">
        <v>130</v>
      </c>
      <c r="B141" s="110">
        <v>0.0</v>
      </c>
      <c r="C141" s="111">
        <v>1.7</v>
      </c>
      <c r="D141" s="109">
        <f t="shared" si="16"/>
        <v>0</v>
      </c>
      <c r="E141" s="11"/>
      <c r="F141" s="20"/>
      <c r="G141" s="96"/>
      <c r="H141" s="97"/>
      <c r="I141" s="98"/>
      <c r="J141" s="112"/>
      <c r="K141" s="22"/>
      <c r="L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5"/>
      <c r="B142" s="26"/>
      <c r="C142" s="26"/>
      <c r="D142" s="27"/>
      <c r="E142" s="11"/>
      <c r="F142" s="20"/>
      <c r="G142" s="85"/>
      <c r="H142" s="99"/>
      <c r="I142" s="100"/>
      <c r="J142" s="106"/>
      <c r="K142" s="22"/>
      <c r="L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113" t="s">
        <v>131</v>
      </c>
      <c r="B143" s="114"/>
      <c r="C143" s="114"/>
      <c r="D143" s="114"/>
      <c r="E143" s="11"/>
      <c r="F143" s="20"/>
      <c r="G143" s="85"/>
      <c r="H143" s="99"/>
      <c r="I143" s="100"/>
      <c r="J143" s="106"/>
      <c r="K143" s="22"/>
      <c r="L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113" t="s">
        <v>132</v>
      </c>
      <c r="B144" s="115">
        <v>0.3</v>
      </c>
      <c r="C144" s="114">
        <v>86.4</v>
      </c>
      <c r="D144" s="116">
        <f t="shared" ref="D144:D152" si="17">SUM(B144*C144)</f>
        <v>25.92</v>
      </c>
      <c r="E144" s="11"/>
      <c r="F144" s="20"/>
      <c r="G144" s="85"/>
      <c r="H144" s="99"/>
      <c r="I144" s="100"/>
      <c r="J144" s="106"/>
      <c r="K144" s="22"/>
      <c r="L144" s="2"/>
      <c r="M144" s="117" t="s">
        <v>133</v>
      </c>
      <c r="N144" s="13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13" t="s">
        <v>134</v>
      </c>
      <c r="B145" s="115">
        <v>0.0</v>
      </c>
      <c r="C145" s="114">
        <v>104.4</v>
      </c>
      <c r="D145" s="116">
        <f t="shared" si="17"/>
        <v>0</v>
      </c>
      <c r="E145" s="11"/>
      <c r="F145" s="20"/>
      <c r="G145" s="102"/>
      <c r="H145" s="103"/>
      <c r="I145" s="104"/>
      <c r="J145" s="118"/>
      <c r="K145" s="22"/>
      <c r="L145" s="2"/>
      <c r="M145" s="119" t="s">
        <v>135</v>
      </c>
      <c r="N145" s="119" t="s">
        <v>9</v>
      </c>
      <c r="O145" s="119" t="s">
        <v>10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13" t="s">
        <v>136</v>
      </c>
      <c r="B146" s="115">
        <v>0.0</v>
      </c>
      <c r="C146" s="114">
        <v>100.8</v>
      </c>
      <c r="D146" s="116">
        <f t="shared" si="17"/>
        <v>0</v>
      </c>
      <c r="E146" s="11"/>
      <c r="F146" s="20"/>
      <c r="G146" s="102"/>
      <c r="H146" s="103"/>
      <c r="I146" s="105"/>
      <c r="J146" s="118"/>
      <c r="K146" s="22"/>
      <c r="L146" s="2"/>
      <c r="M146" s="119"/>
      <c r="N146" s="119"/>
      <c r="O146" s="119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113" t="s">
        <v>137</v>
      </c>
      <c r="B147" s="115">
        <v>1.0</v>
      </c>
      <c r="C147" s="114">
        <v>96.0</v>
      </c>
      <c r="D147" s="116">
        <f t="shared" si="17"/>
        <v>96</v>
      </c>
      <c r="E147" s="11"/>
      <c r="F147" s="20"/>
      <c r="G147" s="102"/>
      <c r="H147" s="103"/>
      <c r="I147" s="105"/>
      <c r="J147" s="118"/>
      <c r="K147" s="22"/>
      <c r="L147" s="2"/>
      <c r="M147" s="119" t="s">
        <v>138</v>
      </c>
      <c r="N147" s="120"/>
      <c r="O147" s="119">
        <f>SUM(284/36819)*N147</f>
        <v>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13" t="s">
        <v>139</v>
      </c>
      <c r="B148" s="115">
        <v>0.8</v>
      </c>
      <c r="C148" s="114">
        <v>132.0</v>
      </c>
      <c r="D148" s="116">
        <f t="shared" si="17"/>
        <v>105.6</v>
      </c>
      <c r="E148" s="11"/>
      <c r="F148" s="20"/>
      <c r="G148" s="102"/>
      <c r="H148" s="103"/>
      <c r="I148" s="105"/>
      <c r="J148" s="118"/>
      <c r="K148" s="22"/>
      <c r="L148" s="2"/>
      <c r="M148" s="119" t="s">
        <v>140</v>
      </c>
      <c r="N148" s="120"/>
      <c r="O148" s="119">
        <f>SUM(568/36819)*N148</f>
        <v>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13" t="s">
        <v>141</v>
      </c>
      <c r="B149" s="115">
        <v>0.7</v>
      </c>
      <c r="C149" s="114">
        <v>90.0</v>
      </c>
      <c r="D149" s="116">
        <f t="shared" si="17"/>
        <v>63</v>
      </c>
      <c r="E149" s="11"/>
      <c r="F149" s="20"/>
      <c r="G149" s="85"/>
      <c r="H149" s="99"/>
      <c r="I149" s="100"/>
      <c r="J149" s="106"/>
      <c r="K149" s="22"/>
      <c r="L149" s="2"/>
      <c r="M149" s="119" t="s">
        <v>142</v>
      </c>
      <c r="N149" s="120"/>
      <c r="O149" s="119">
        <f>SUM(1100/36819)*N149</f>
        <v>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13" t="s">
        <v>143</v>
      </c>
      <c r="B150" s="115">
        <v>0.0</v>
      </c>
      <c r="C150" s="114">
        <v>116.0</v>
      </c>
      <c r="D150" s="116">
        <f t="shared" si="17"/>
        <v>0</v>
      </c>
      <c r="E150" s="11"/>
      <c r="F150" s="20"/>
      <c r="G150" s="85"/>
      <c r="H150" s="99"/>
      <c r="I150" s="100"/>
      <c r="J150" s="106"/>
      <c r="K150" s="22"/>
      <c r="L150" s="2"/>
      <c r="M150" s="119"/>
      <c r="N150" s="119" t="s">
        <v>21</v>
      </c>
      <c r="O150" s="119">
        <f>SUM(O147+O148+O149)</f>
        <v>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13" t="s">
        <v>144</v>
      </c>
      <c r="B151" s="115">
        <v>0.0</v>
      </c>
      <c r="C151" s="114">
        <v>84.0</v>
      </c>
      <c r="D151" s="116">
        <f t="shared" si="17"/>
        <v>0</v>
      </c>
      <c r="E151" s="11"/>
      <c r="F151" s="20"/>
      <c r="G151" s="85"/>
      <c r="H151" s="99"/>
      <c r="I151" s="100"/>
      <c r="J151" s="106"/>
      <c r="K151" s="22"/>
      <c r="L151" s="2"/>
      <c r="M151" s="121"/>
      <c r="N151" s="121"/>
      <c r="O151" s="121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13" t="s">
        <v>145</v>
      </c>
      <c r="B152" s="115">
        <v>0.0</v>
      </c>
      <c r="C152" s="114">
        <v>96.0</v>
      </c>
      <c r="D152" s="116">
        <f t="shared" si="17"/>
        <v>0</v>
      </c>
      <c r="E152" s="11"/>
      <c r="F152" s="20"/>
      <c r="G152" s="20"/>
      <c r="H152" s="20"/>
      <c r="I152" s="21"/>
      <c r="J152" s="22"/>
      <c r="K152" s="22"/>
      <c r="L152" s="2"/>
      <c r="M152" s="121"/>
      <c r="N152" s="121"/>
      <c r="O152" s="121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5"/>
      <c r="B153" s="26"/>
      <c r="C153" s="26"/>
      <c r="D153" s="27"/>
      <c r="E153" s="11"/>
      <c r="F153" s="20"/>
      <c r="G153" s="20"/>
      <c r="H153" s="20"/>
      <c r="I153" s="21"/>
      <c r="J153" s="22"/>
      <c r="K153" s="22"/>
      <c r="L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22" t="s">
        <v>146</v>
      </c>
      <c r="B154" s="123"/>
      <c r="C154" s="123"/>
      <c r="D154" s="123"/>
      <c r="E154" s="11"/>
      <c r="F154" s="20"/>
      <c r="G154" s="20"/>
      <c r="H154" s="20"/>
      <c r="I154" s="21"/>
      <c r="J154" s="22"/>
      <c r="K154" s="2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22" t="s">
        <v>147</v>
      </c>
      <c r="B155" s="124">
        <v>1.7</v>
      </c>
      <c r="C155" s="123">
        <v>110.0</v>
      </c>
      <c r="D155" s="125">
        <f t="shared" ref="D155:D156" si="18">SUM(B155*C155)</f>
        <v>187</v>
      </c>
      <c r="E155" s="11"/>
      <c r="F155" s="20"/>
      <c r="G155" s="20"/>
      <c r="H155" s="20"/>
      <c r="I155" s="21"/>
      <c r="J155" s="22"/>
      <c r="K155" s="22"/>
      <c r="L155" s="2"/>
      <c r="M155" s="126" t="s">
        <v>135</v>
      </c>
      <c r="N155" s="126" t="s">
        <v>9</v>
      </c>
      <c r="O155" s="126" t="s">
        <v>10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22" t="s">
        <v>148</v>
      </c>
      <c r="B156" s="124">
        <v>0.0</v>
      </c>
      <c r="C156" s="123">
        <v>139.2</v>
      </c>
      <c r="D156" s="125">
        <f t="shared" si="18"/>
        <v>0</v>
      </c>
      <c r="E156" s="11"/>
      <c r="F156" s="20"/>
      <c r="G156" s="20"/>
      <c r="H156" s="20"/>
      <c r="I156" s="21"/>
      <c r="J156" s="22"/>
      <c r="K156" s="22"/>
      <c r="L156" s="2"/>
      <c r="M156" s="127" t="s">
        <v>149</v>
      </c>
      <c r="N156" s="13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22" t="s">
        <v>150</v>
      </c>
      <c r="B157" s="124">
        <v>0.7</v>
      </c>
      <c r="C157" s="123">
        <v>124.8</v>
      </c>
      <c r="D157" s="125"/>
      <c r="E157" s="11"/>
      <c r="F157" s="20"/>
      <c r="G157" s="20"/>
      <c r="H157" s="20"/>
      <c r="I157" s="21"/>
      <c r="J157" s="22"/>
      <c r="K157" s="22"/>
      <c r="L157" s="2"/>
      <c r="M157" s="128"/>
      <c r="N157" s="128"/>
      <c r="O157" s="128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22" t="s">
        <v>151</v>
      </c>
      <c r="B158" s="124">
        <v>0.0</v>
      </c>
      <c r="C158" s="123">
        <v>110.0</v>
      </c>
      <c r="D158" s="125">
        <f t="shared" ref="D158:D172" si="19">SUM(B158*C158)</f>
        <v>0</v>
      </c>
      <c r="E158" s="11"/>
      <c r="F158" s="20"/>
      <c r="G158" s="20"/>
      <c r="H158" s="20"/>
      <c r="I158" s="21"/>
      <c r="J158" s="22"/>
      <c r="K158" s="22"/>
      <c r="L158" s="2"/>
      <c r="M158" s="128"/>
      <c r="N158" s="128"/>
      <c r="O158" s="128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22" t="s">
        <v>152</v>
      </c>
      <c r="B159" s="124">
        <v>0.0</v>
      </c>
      <c r="C159" s="123">
        <v>125.0</v>
      </c>
      <c r="D159" s="125">
        <f t="shared" si="19"/>
        <v>0</v>
      </c>
      <c r="E159" s="11"/>
      <c r="F159" s="20"/>
      <c r="G159" s="20"/>
      <c r="H159" s="20"/>
      <c r="I159" s="21"/>
      <c r="J159" s="22"/>
      <c r="K159" s="22"/>
      <c r="L159" s="2"/>
      <c r="M159" s="126"/>
      <c r="N159" s="126" t="s">
        <v>21</v>
      </c>
      <c r="O159" s="126">
        <f>SUM(O164+O165+O160)</f>
        <v>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22" t="s">
        <v>153</v>
      </c>
      <c r="B160" s="129">
        <v>0.0</v>
      </c>
      <c r="C160" s="123">
        <v>150.0</v>
      </c>
      <c r="D160" s="125">
        <f t="shared" si="19"/>
        <v>0</v>
      </c>
      <c r="E160" s="11"/>
      <c r="F160" s="20"/>
      <c r="G160" s="20"/>
      <c r="H160" s="20"/>
      <c r="I160" s="21"/>
      <c r="J160" s="22"/>
      <c r="K160" s="22"/>
      <c r="L160" s="2"/>
      <c r="M160" s="126" t="s">
        <v>142</v>
      </c>
      <c r="N160" s="126"/>
      <c r="O160" s="126">
        <f>SUM(1100/27000)*N160</f>
        <v>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22" t="s">
        <v>154</v>
      </c>
      <c r="B161" s="129">
        <v>0.0</v>
      </c>
      <c r="C161" s="123">
        <v>138.0</v>
      </c>
      <c r="D161" s="125">
        <f t="shared" si="19"/>
        <v>0</v>
      </c>
      <c r="E161" s="11"/>
      <c r="F161" s="20"/>
      <c r="G161" s="20"/>
      <c r="H161" s="20"/>
      <c r="I161" s="21"/>
      <c r="J161" s="22"/>
      <c r="K161" s="22"/>
      <c r="L161" s="2"/>
      <c r="M161" s="126"/>
      <c r="N161" s="126"/>
      <c r="O161" s="126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22" t="s">
        <v>155</v>
      </c>
      <c r="B162" s="124">
        <v>0.0</v>
      </c>
      <c r="C162" s="123">
        <v>129.6</v>
      </c>
      <c r="D162" s="125">
        <f t="shared" si="19"/>
        <v>0</v>
      </c>
      <c r="E162" s="11"/>
      <c r="F162" s="20"/>
      <c r="G162" s="20"/>
      <c r="H162" s="20"/>
      <c r="I162" s="21"/>
      <c r="J162" s="22"/>
      <c r="K162" s="22"/>
      <c r="L162" s="2"/>
      <c r="M162" s="126"/>
      <c r="N162" s="126"/>
      <c r="O162" s="126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22" t="s">
        <v>156</v>
      </c>
      <c r="B163" s="124">
        <v>3.4</v>
      </c>
      <c r="C163" s="123">
        <v>89.0</v>
      </c>
      <c r="D163" s="125">
        <f t="shared" si="19"/>
        <v>302.6</v>
      </c>
      <c r="E163" s="11"/>
      <c r="F163" s="20"/>
      <c r="G163" s="20"/>
      <c r="H163" s="20"/>
      <c r="I163" s="21"/>
      <c r="J163" s="22"/>
      <c r="K163" s="22"/>
      <c r="L163" s="2"/>
      <c r="M163" s="126"/>
      <c r="N163" s="126"/>
      <c r="O163" s="126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22" t="s">
        <v>157</v>
      </c>
      <c r="B164" s="129">
        <v>0.0</v>
      </c>
      <c r="C164" s="123">
        <v>95.0</v>
      </c>
      <c r="D164" s="125">
        <f t="shared" si="19"/>
        <v>0</v>
      </c>
      <c r="E164" s="11"/>
      <c r="F164" s="20"/>
      <c r="G164" s="20"/>
      <c r="H164" s="20"/>
      <c r="I164" s="21"/>
      <c r="J164" s="22"/>
      <c r="K164" s="22"/>
      <c r="L164" s="2"/>
      <c r="M164" s="126" t="s">
        <v>138</v>
      </c>
      <c r="N164" s="126"/>
      <c r="O164" s="126">
        <f>SUM(284/27000)*N164</f>
        <v>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22" t="s">
        <v>158</v>
      </c>
      <c r="B165" s="124">
        <v>0.2</v>
      </c>
      <c r="C165" s="123">
        <v>174.5</v>
      </c>
      <c r="D165" s="125">
        <f t="shared" si="19"/>
        <v>34.9</v>
      </c>
      <c r="E165" s="11"/>
      <c r="F165" s="20"/>
      <c r="G165" s="20"/>
      <c r="H165" s="20"/>
      <c r="I165" s="21"/>
      <c r="J165" s="22"/>
      <c r="K165" s="22"/>
      <c r="L165" s="2"/>
      <c r="M165" s="126" t="s">
        <v>140</v>
      </c>
      <c r="N165" s="126"/>
      <c r="O165" s="126">
        <f>SUM(568/27000)*N165</f>
        <v>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22" t="s">
        <v>159</v>
      </c>
      <c r="B166" s="124">
        <v>1.6</v>
      </c>
      <c r="C166" s="123">
        <v>125.0</v>
      </c>
      <c r="D166" s="125">
        <f t="shared" si="19"/>
        <v>200</v>
      </c>
      <c r="E166" s="11"/>
      <c r="F166" s="20"/>
      <c r="G166" s="20"/>
      <c r="H166" s="20"/>
      <c r="I166" s="21"/>
      <c r="J166" s="22"/>
      <c r="K166" s="2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22" t="s">
        <v>160</v>
      </c>
      <c r="B167" s="129">
        <v>0.0</v>
      </c>
      <c r="C167" s="123">
        <v>138.0</v>
      </c>
      <c r="D167" s="125">
        <f t="shared" si="19"/>
        <v>0</v>
      </c>
      <c r="E167" s="11"/>
      <c r="F167" s="20"/>
      <c r="G167" s="20"/>
      <c r="H167" s="20"/>
      <c r="I167" s="21"/>
      <c r="J167" s="22"/>
      <c r="K167" s="2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22" t="s">
        <v>161</v>
      </c>
      <c r="B168" s="124">
        <v>0.0</v>
      </c>
      <c r="C168" s="123">
        <v>96.0</v>
      </c>
      <c r="D168" s="125">
        <f t="shared" si="19"/>
        <v>0</v>
      </c>
      <c r="E168" s="130"/>
      <c r="F168" s="20"/>
      <c r="G168" s="20"/>
      <c r="H168" s="20"/>
      <c r="I168" s="21"/>
      <c r="J168" s="22"/>
      <c r="K168" s="2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22" t="s">
        <v>162</v>
      </c>
      <c r="B169" s="124">
        <v>0.0</v>
      </c>
      <c r="C169" s="123">
        <v>140.0</v>
      </c>
      <c r="D169" s="125">
        <f t="shared" si="19"/>
        <v>0</v>
      </c>
      <c r="E169" s="130"/>
      <c r="F169" s="20"/>
      <c r="G169" s="20"/>
      <c r="H169" s="20"/>
      <c r="I169" s="21"/>
      <c r="J169" s="22"/>
      <c r="K169" s="2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22" t="s">
        <v>163</v>
      </c>
      <c r="B170" s="124">
        <v>0.0</v>
      </c>
      <c r="C170" s="123">
        <v>107.0</v>
      </c>
      <c r="D170" s="125">
        <f t="shared" si="19"/>
        <v>0</v>
      </c>
      <c r="E170" s="130"/>
      <c r="F170" s="20"/>
      <c r="G170" s="20"/>
      <c r="H170" s="20"/>
      <c r="I170" s="21"/>
      <c r="J170" s="22"/>
      <c r="K170" s="2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22" t="s">
        <v>164</v>
      </c>
      <c r="B171" s="124">
        <v>1.6</v>
      </c>
      <c r="C171" s="123">
        <v>85.0</v>
      </c>
      <c r="D171" s="125">
        <f t="shared" si="19"/>
        <v>136</v>
      </c>
      <c r="E171" s="130"/>
      <c r="F171" s="20"/>
      <c r="G171" s="20"/>
      <c r="H171" s="20"/>
      <c r="I171" s="21"/>
      <c r="J171" s="22"/>
      <c r="K171" s="2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22" t="s">
        <v>165</v>
      </c>
      <c r="B172" s="124">
        <v>1.0</v>
      </c>
      <c r="C172" s="123">
        <v>100.0</v>
      </c>
      <c r="D172" s="125">
        <f t="shared" si="19"/>
        <v>100</v>
      </c>
      <c r="E172" s="130"/>
      <c r="F172" s="20"/>
      <c r="G172" s="20"/>
      <c r="H172" s="20"/>
      <c r="I172" s="21"/>
      <c r="J172" s="22"/>
      <c r="K172" s="2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5"/>
      <c r="B173" s="26"/>
      <c r="C173" s="26"/>
      <c r="D173" s="27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31" t="s">
        <v>166</v>
      </c>
      <c r="B174" s="132"/>
      <c r="C174" s="132"/>
      <c r="D174" s="13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31" t="s">
        <v>167</v>
      </c>
      <c r="B175" s="133">
        <v>2.4</v>
      </c>
      <c r="C175" s="132">
        <v>59.5</v>
      </c>
      <c r="D175" s="134">
        <f t="shared" ref="D175:D178" si="20">SUM(B175*C175)</f>
        <v>142.8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31" t="s">
        <v>168</v>
      </c>
      <c r="B176" s="133">
        <v>2.1</v>
      </c>
      <c r="C176" s="132">
        <v>59.5</v>
      </c>
      <c r="D176" s="134">
        <f t="shared" si="20"/>
        <v>124.95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31" t="s">
        <v>169</v>
      </c>
      <c r="B177" s="133">
        <v>2.4</v>
      </c>
      <c r="C177" s="132">
        <v>59.5</v>
      </c>
      <c r="D177" s="134">
        <f t="shared" si="20"/>
        <v>142.8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31" t="s">
        <v>170</v>
      </c>
      <c r="B178" s="133">
        <v>2.7</v>
      </c>
      <c r="C178" s="132">
        <v>59.5</v>
      </c>
      <c r="D178" s="134">
        <f t="shared" si="20"/>
        <v>160.65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135"/>
      <c r="C179" s="135"/>
      <c r="D179" s="2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36" t="s">
        <v>171</v>
      </c>
      <c r="B180" s="137"/>
      <c r="C180" s="137"/>
      <c r="D180" s="137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38" t="s">
        <v>172</v>
      </c>
      <c r="B181" s="139">
        <v>8.0</v>
      </c>
      <c r="C181" s="140">
        <v>0.4</v>
      </c>
      <c r="D181" s="141">
        <f t="shared" ref="D181:D186" si="21">SUM(B181*C181)</f>
        <v>3.2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42" t="s">
        <v>173</v>
      </c>
      <c r="B182" s="139">
        <v>54.0</v>
      </c>
      <c r="C182" s="140">
        <v>0.4</v>
      </c>
      <c r="D182" s="141">
        <f t="shared" si="21"/>
        <v>21.6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38" t="s">
        <v>174</v>
      </c>
      <c r="B183" s="139">
        <v>0.0</v>
      </c>
      <c r="C183" s="140">
        <v>0.45</v>
      </c>
      <c r="D183" s="141">
        <f t="shared" si="21"/>
        <v>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38" t="s">
        <v>175</v>
      </c>
      <c r="B184" s="139">
        <v>0.0</v>
      </c>
      <c r="C184" s="140">
        <v>0.45</v>
      </c>
      <c r="D184" s="141">
        <f t="shared" si="21"/>
        <v>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38" t="s">
        <v>176</v>
      </c>
      <c r="B185" s="139">
        <v>0.0</v>
      </c>
      <c r="C185" s="140">
        <v>0.45</v>
      </c>
      <c r="D185" s="141">
        <f t="shared" si="21"/>
        <v>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43" t="s">
        <v>177</v>
      </c>
      <c r="B186" s="144">
        <v>2.0</v>
      </c>
      <c r="C186" s="145">
        <f>12.95/12</f>
        <v>1.079166667</v>
      </c>
      <c r="D186" s="141">
        <f t="shared" si="21"/>
        <v>2.158333333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 t="s">
        <v>178</v>
      </c>
      <c r="B188" s="2"/>
      <c r="C188" s="2"/>
      <c r="D188" s="146">
        <f>SUM(D6:D186)</f>
        <v>5158.312833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M4:O4"/>
    <mergeCell ref="M77:O77"/>
    <mergeCell ref="M144:O144"/>
    <mergeCell ref="M156:O15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2026-04-01T16:43:28Z</dcterms:created>
  <dc:creator>Jay Russell</dc:creator>
</cp:coreProperties>
</file>