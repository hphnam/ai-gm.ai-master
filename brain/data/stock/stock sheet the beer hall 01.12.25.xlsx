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ful\Desktop\"/>
    </mc:Choice>
  </mc:AlternateContent>
  <xr:revisionPtr revIDLastSave="0" documentId="13_ncr:1_{654A63DC-A477-43D2-80B9-9161C3BE4F0B}" xr6:coauthVersionLast="47" xr6:coauthVersionMax="47" xr10:uidLastSave="{00000000-0000-0000-0000-000000000000}"/>
  <bookViews>
    <workbookView xWindow="-120" yWindow="-120" windowWidth="29040" windowHeight="15720" xr2:uid="{7C776DDA-2AFA-4529-9B40-3DCC8C1F7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3" i="1" l="1"/>
  <c r="D102" i="1"/>
  <c r="D90" i="1"/>
  <c r="D91" i="1"/>
  <c r="D92" i="1"/>
  <c r="D93" i="1"/>
  <c r="D94" i="1"/>
  <c r="D95" i="1"/>
  <c r="D96" i="1"/>
  <c r="D97" i="1"/>
  <c r="D98" i="1"/>
  <c r="D99" i="1"/>
  <c r="D100" i="1"/>
  <c r="D101" i="1"/>
  <c r="D89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2" i="1"/>
  <c r="D23" i="1"/>
  <c r="D24" i="1"/>
  <c r="D25" i="1"/>
  <c r="D26" i="1"/>
  <c r="D27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66" i="1"/>
  <c r="D67" i="1"/>
  <c r="D71" i="1"/>
  <c r="D72" i="1"/>
  <c r="D75" i="1"/>
  <c r="D76" i="1"/>
  <c r="D77" i="1"/>
  <c r="D80" i="1"/>
  <c r="D81" i="1"/>
  <c r="D84" i="1"/>
  <c r="D85" i="1"/>
  <c r="D86" i="1"/>
  <c r="D120" i="1"/>
  <c r="D121" i="1"/>
  <c r="D122" i="1"/>
  <c r="D123" i="1"/>
  <c r="D125" i="1"/>
  <c r="D126" i="1"/>
  <c r="D127" i="1"/>
  <c r="D128" i="1"/>
  <c r="D129" i="1"/>
  <c r="D130" i="1"/>
  <c r="D131" i="1"/>
  <c r="D132" i="1"/>
  <c r="D133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70" i="1" s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2" i="1"/>
  <c r="D163" i="1"/>
  <c r="D164" i="1"/>
  <c r="D165" i="1"/>
  <c r="D166" i="1"/>
  <c r="D167" i="1"/>
  <c r="D168" i="1"/>
  <c r="D5" i="1"/>
  <c r="D6" i="1"/>
  <c r="D7" i="1"/>
  <c r="D8" i="1"/>
  <c r="D9" i="1"/>
  <c r="D10" i="1"/>
  <c r="D11" i="1"/>
  <c r="D4" i="1"/>
</calcChain>
</file>

<file path=xl/sharedStrings.xml><?xml version="1.0" encoding="utf-8"?>
<sst xmlns="http://schemas.openxmlformats.org/spreadsheetml/2006/main" count="154" uniqueCount="154">
  <si>
    <t>Product</t>
  </si>
  <si>
    <t>Quanitiy</t>
  </si>
  <si>
    <t>Price</t>
  </si>
  <si>
    <t>Total on hand</t>
  </si>
  <si>
    <t>Spirits</t>
  </si>
  <si>
    <t>Vodka</t>
  </si>
  <si>
    <t>Ciroc Original 70cl</t>
  </si>
  <si>
    <t>Ciroc Mango 70cl</t>
  </si>
  <si>
    <t>Ciroc Apple 70cl</t>
  </si>
  <si>
    <t>Ciroc Summer Citrus 70cl</t>
  </si>
  <si>
    <t>Absolut Raspberry 70cl</t>
  </si>
  <si>
    <t>Checkov Cheap Ass Vodka 1.5ltr</t>
  </si>
  <si>
    <t>3 Wheel Vodka</t>
  </si>
  <si>
    <t>Smirnoff Red 70cl</t>
  </si>
  <si>
    <t>Rum</t>
  </si>
  <si>
    <t>Captain Morgan Spiced Gold - 70cl</t>
  </si>
  <si>
    <t>Bacardi White - 70cl</t>
  </si>
  <si>
    <t>Havana Club 3 Year Special - 70cl</t>
  </si>
  <si>
    <t>Lamb’s Navy - 70cl</t>
  </si>
  <si>
    <t>Malibu - 70cl</t>
  </si>
  <si>
    <t>Swift Nick Rum</t>
  </si>
  <si>
    <t>Gin</t>
  </si>
  <si>
    <t>Gordons Original London Dry 70cl</t>
  </si>
  <si>
    <t>Hendricks - 70cl</t>
  </si>
  <si>
    <t>3 Wheel Gins</t>
  </si>
  <si>
    <t>Whitley Neil Gin - london dry</t>
  </si>
  <si>
    <t>Whitley Neil Gin - flavoured</t>
  </si>
  <si>
    <t>Gordons Flavoured 70cl</t>
  </si>
  <si>
    <t>Whiskey/Brandy</t>
  </si>
  <si>
    <t>JD - x 70cl</t>
  </si>
  <si>
    <t>JD - Fire x 70cl</t>
  </si>
  <si>
    <t>JD Honey</t>
  </si>
  <si>
    <t>Jameson - 0.8 x 70cl</t>
  </si>
  <si>
    <t>Johnnie walker Red 1ltr</t>
  </si>
  <si>
    <t>Loch Lomond - 1 x 70cl</t>
  </si>
  <si>
    <t>Buffalo Trace - 0.8 x 70cl</t>
  </si>
  <si>
    <t>Southern Comfort - 70cl</t>
  </si>
  <si>
    <t>Dalmeny Centenary Blend</t>
  </si>
  <si>
    <t>Glenmorangie</t>
  </si>
  <si>
    <t>Famous Grouse Whiskey</t>
  </si>
  <si>
    <t>Courvoisier - Cognac</t>
  </si>
  <si>
    <t>Jules Clarion Brandy - 70cl</t>
  </si>
  <si>
    <t>Liqour 43</t>
  </si>
  <si>
    <t>Shots</t>
  </si>
  <si>
    <t>Jose Cuervo Silver Tequila - 1.9 x 70cl</t>
  </si>
  <si>
    <t>Tiburtina White Sambuca - 0.8 x 70cl</t>
  </si>
  <si>
    <t>Antica Black Sambuca - 1x 70cl</t>
  </si>
  <si>
    <t>Messer Schmitt (Jäger) - 1.3 x 70cl</t>
  </si>
  <si>
    <t>Jagermeister 70cl</t>
  </si>
  <si>
    <t>Baileys - 0.5 x 70cl</t>
  </si>
  <si>
    <t>Passini Liqour</t>
  </si>
  <si>
    <t>Tequila Rose - 70cl</t>
  </si>
  <si>
    <t>Lemoncello</t>
  </si>
  <si>
    <t>Kahlua - x 70cl</t>
  </si>
  <si>
    <t>Harveys Sherry</t>
  </si>
  <si>
    <t>Disaronno Amaretto x 70cl</t>
  </si>
  <si>
    <t>Archers x 70cl</t>
  </si>
  <si>
    <t>3 Wheel Cellos</t>
  </si>
  <si>
    <t>Sombrero Tequila liq.</t>
  </si>
  <si>
    <t>2 Rivers Spirits/Wines</t>
  </si>
  <si>
    <t>Syrups</t>
  </si>
  <si>
    <t>Grenadine - 1.7 x 70cl</t>
  </si>
  <si>
    <t>Grenadine Monin 4x1l</t>
  </si>
  <si>
    <t>Wine:</t>
  </si>
  <si>
    <t>Red</t>
  </si>
  <si>
    <t>White</t>
  </si>
  <si>
    <t>Rose</t>
  </si>
  <si>
    <t>Sparkling-</t>
  </si>
  <si>
    <t>Soft Drinks/Mixers-</t>
  </si>
  <si>
    <t>Sunpride Cranberry Juice - x 1ltr</t>
  </si>
  <si>
    <t>Sunpride Orange/Apple Juice - x 1ltr</t>
  </si>
  <si>
    <t>Britvic Orange Cordial - 0.7 x 1ltr</t>
  </si>
  <si>
    <t>Britvic Blackcurrant Cordial - 0.2 x 1ltr</t>
  </si>
  <si>
    <t>Britvic Lime Cordial - 11.1 x 1ltr</t>
  </si>
  <si>
    <t>Energy Drink Big bottles</t>
  </si>
  <si>
    <t>Fruit Shoot Apple and Blackcurrant</t>
  </si>
  <si>
    <t>Fruit Shoot Orange</t>
  </si>
  <si>
    <t>J20 (Bottles)</t>
  </si>
  <si>
    <t>Fentimans Ginger Beer (Bottle 275ml)</t>
  </si>
  <si>
    <t>Fevertree Cocktail Mix</t>
  </si>
  <si>
    <t>PET water bottles</t>
  </si>
  <si>
    <t>Soft Drink Cans TREAT DAY</t>
  </si>
  <si>
    <t>Guinness (Pint Can)</t>
  </si>
  <si>
    <t>Guinness 0% (Pint Can)</t>
  </si>
  <si>
    <t>Old Mout Cider</t>
  </si>
  <si>
    <t>Erdinger 0% (Bottle 500ml)</t>
  </si>
  <si>
    <t>Thatchers 0% (Bottle 500ml)</t>
  </si>
  <si>
    <t>Amstel Cans TREAT DAY</t>
  </si>
  <si>
    <t>Verdant PUTTY (440ml Can)</t>
  </si>
  <si>
    <t>Sam Smith ALC FREE</t>
  </si>
  <si>
    <t>Chug A/F (440ml Can)</t>
  </si>
  <si>
    <t>Alc Free (330ml can)</t>
  </si>
  <si>
    <t>Beyond the Pines A/F (440ml Can)</t>
  </si>
  <si>
    <t>LUNEBREW CANS (440ml Can)</t>
  </si>
  <si>
    <t>Corona Bottles 330ml</t>
  </si>
  <si>
    <t>Vodka Cans TREAT DAY</t>
  </si>
  <si>
    <t>Strongbow cans 440ml</t>
  </si>
  <si>
    <t>Ascension Pilot can</t>
  </si>
  <si>
    <t>Ascension Wrath Can</t>
  </si>
  <si>
    <t>Ascension Shimmy Can</t>
  </si>
  <si>
    <t>Cask-</t>
  </si>
  <si>
    <t>Lunebrew: Lune Valley Gold</t>
  </si>
  <si>
    <t>LuneBrew: Pale Ale</t>
  </si>
  <si>
    <t>LuneBrew: session ipa</t>
  </si>
  <si>
    <t>LuneBrew: Bitter</t>
  </si>
  <si>
    <t>Guest</t>
  </si>
  <si>
    <t>LuneBrew: Stout 8 Malt</t>
  </si>
  <si>
    <t>Draught-</t>
  </si>
  <si>
    <t>Lunebrew: Session IPA</t>
  </si>
  <si>
    <t>Lunebrew:Pale (30ltr)</t>
  </si>
  <si>
    <t>Lunebrew/Guest (30ltr)</t>
  </si>
  <si>
    <t>Apple Cider 50ltr</t>
  </si>
  <si>
    <t>LuneBrew: Caravan of Love</t>
  </si>
  <si>
    <t>Stowford press</t>
  </si>
  <si>
    <t>Alcohol Free: ?</t>
  </si>
  <si>
    <t>Paulaner Lager 50ltr</t>
  </si>
  <si>
    <t>Sea salt Lime lager</t>
  </si>
  <si>
    <t>Bud Light Keg</t>
  </si>
  <si>
    <t>Accidental Guest (30ltr)</t>
  </si>
  <si>
    <t>Becks Vier Keg</t>
  </si>
  <si>
    <t>Murphys stout</t>
  </si>
  <si>
    <t>Postmix - NEED TO ORDER</t>
  </si>
  <si>
    <t>7l Coke</t>
  </si>
  <si>
    <t>9l Tonic</t>
  </si>
  <si>
    <t>13l Lemonade</t>
  </si>
  <si>
    <t>15l Diet coke</t>
  </si>
  <si>
    <t>Snacks</t>
  </si>
  <si>
    <t>Bacon Fries</t>
  </si>
  <si>
    <t>Crisps (Seabrooks)</t>
  </si>
  <si>
    <t>Nobbys Nuts - Salted</t>
  </si>
  <si>
    <t>Nobbys Nuts - Dry Roasted</t>
  </si>
  <si>
    <t>Nobbys Nuts - Sweet Chilli</t>
  </si>
  <si>
    <t>Pork Scratchings</t>
  </si>
  <si>
    <t>TOTAL CASH AMOUNT OF STOCK HELD</t>
  </si>
  <si>
    <t>Casa De Flores Merlot</t>
  </si>
  <si>
    <t>Finca La Colonia Malbec</t>
  </si>
  <si>
    <t>Valdemoreda Macabeo</t>
  </si>
  <si>
    <t>Poggio Alto Pinot Grigio</t>
  </si>
  <si>
    <t>Featherdrop NZ Sauvignon Blanc</t>
  </si>
  <si>
    <t>Golden State Zinfandel</t>
  </si>
  <si>
    <t>Poggio Alto Pinot Blush (rose)</t>
  </si>
  <si>
    <t>Serena 1881 Prosecco</t>
  </si>
  <si>
    <t>Serena 1881 Rose Prosecco</t>
  </si>
  <si>
    <t>Serena 1881 Spumante</t>
  </si>
  <si>
    <t>Belvoire Elderflower</t>
  </si>
  <si>
    <t>Appletiser</t>
  </si>
  <si>
    <t xml:space="preserve">Aperol </t>
  </si>
  <si>
    <t>LuneBrew: Chockidy</t>
  </si>
  <si>
    <t>Lunebrew Origin Blonde</t>
  </si>
  <si>
    <t>Lunebrew: Swoop (30ltr)</t>
  </si>
  <si>
    <t>LuneBrew: Elephants</t>
  </si>
  <si>
    <t>LuneBrew: Bine &amp; Dandy (30ltr)</t>
  </si>
  <si>
    <t>Lunebrew: Mango Madness</t>
  </si>
  <si>
    <t>trappist blondes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</si>
</sst>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2" xfId="0" applyBorder="1"/>
    <xf numFmtId="0" fontId="2" fillId="0" borderId="2" xfId="0" applyFont="1" applyBorder="1"/>
    <xf numFmtId="0" fontId="0" fillId="9" borderId="2" xfId="0" applyFill="1" applyBorder="1"/>
    <xf numFmtId="0" fontId="2" fillId="9" borderId="2" xfId="0" applyFont="1" applyFill="1" applyBorder="1"/>
    <xf numFmtId="0" fontId="2" fillId="10" borderId="2" xfId="0" applyFont="1" applyFill="1" applyBorder="1"/>
    <xf numFmtId="0" fontId="0" fillId="10" borderId="2" xfId="0" applyFill="1" applyBorder="1"/>
    <xf numFmtId="0" fontId="2" fillId="11" borderId="2" xfId="0" applyFont="1" applyFill="1" applyBorder="1"/>
    <xf numFmtId="0" fontId="0" fillId="11" borderId="2" xfId="0" applyFill="1" applyBorder="1"/>
    <xf numFmtId="0" fontId="2" fillId="12" borderId="2" xfId="0" applyFont="1" applyFill="1" applyBorder="1"/>
    <xf numFmtId="0" fontId="0" fillId="12" borderId="2" xfId="0" applyFill="1" applyBorder="1"/>
    <xf numFmtId="0" fontId="2" fillId="13" borderId="2" xfId="0" applyFont="1" applyFill="1" applyBorder="1"/>
    <xf numFmtId="0" fontId="0" fillId="13" borderId="2" xfId="0" applyFill="1" applyBorder="1"/>
    <xf numFmtId="0" fontId="0" fillId="14" borderId="2" xfId="0" applyFill="1" applyBorder="1"/>
    <xf numFmtId="0" fontId="2" fillId="14" borderId="2" xfId="0" applyFont="1" applyFill="1" applyBorder="1"/>
    <xf numFmtId="0" fontId="2" fillId="0" borderId="0" xfId="0" applyFont="1"/>
    <xf numFmtId="0" fontId="2" fillId="15" borderId="2" xfId="0" applyFont="1" applyFill="1" applyBorder="1"/>
    <xf numFmtId="0" fontId="0" fillId="15" borderId="2" xfId="0" applyFill="1" applyBorder="1"/>
    <xf numFmtId="0" fontId="2" fillId="16" borderId="2" xfId="0" applyFont="1" applyFill="1" applyBorder="1"/>
    <xf numFmtId="0" fontId="0" fillId="16" borderId="2" xfId="0" applyFill="1" applyBorder="1"/>
    <xf numFmtId="0" fontId="2" fillId="17" borderId="2" xfId="0" applyFont="1" applyFill="1" applyBorder="1"/>
    <xf numFmtId="0" fontId="0" fillId="17" borderId="2" xfId="0" applyFill="1" applyBorder="1"/>
    <xf numFmtId="0" fontId="2" fillId="18" borderId="2" xfId="0" applyFont="1" applyFill="1" applyBorder="1"/>
    <xf numFmtId="0" fontId="0" fillId="18" borderId="2" xfId="0" applyFill="1" applyBorder="1"/>
    <xf numFmtId="0" fontId="1" fillId="0" borderId="2" xfId="0" applyFont="1" applyFill="1" applyBorder="1"/>
    <xf numFmtId="0" fontId="4" fillId="0" borderId="0" xfId="0" applyFont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right" wrapText="1"/>
    </xf>
    <xf numFmtId="0" fontId="4" fillId="2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horizontal="right" wrapText="1"/>
    </xf>
    <xf numFmtId="0" fontId="3" fillId="5" borderId="2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4" fillId="5" borderId="2" xfId="0" applyFont="1" applyFill="1" applyBorder="1" applyAlignment="1">
      <alignment horizontal="right" wrapText="1"/>
    </xf>
    <xf numFmtId="0" fontId="3" fillId="6" borderId="2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4" fillId="6" borderId="2" xfId="0" applyFont="1" applyFill="1" applyBorder="1" applyAlignment="1">
      <alignment horizontal="right" wrapText="1"/>
    </xf>
    <xf numFmtId="0" fontId="0" fillId="12" borderId="2" xfId="0" applyFont="1" applyFill="1" applyBorder="1"/>
    <xf numFmtId="0" fontId="0" fillId="0" borderId="2" xfId="0" applyFill="1" applyBorder="1"/>
    <xf numFmtId="0" fontId="0" fillId="0" borderId="0" xfId="0" applyFill="1"/>
    <xf numFmtId="4" fontId="0" fillId="9" borderId="2" xfId="0" applyNumberFormat="1" applyFill="1" applyBorder="1"/>
    <xf numFmtId="4" fontId="0" fillId="0" borderId="2" xfId="0" applyNumberFormat="1" applyFill="1" applyBorder="1"/>
    <xf numFmtId="4" fontId="0" fillId="10" borderId="2" xfId="0" applyNumberFormat="1" applyFill="1" applyBorder="1"/>
    <xf numFmtId="4" fontId="0" fillId="11" borderId="2" xfId="0" applyNumberFormat="1" applyFill="1" applyBorder="1"/>
    <xf numFmtId="4" fontId="0" fillId="12" borderId="2" xfId="0" applyNumberFormat="1" applyFill="1" applyBorder="1"/>
    <xf numFmtId="4" fontId="0" fillId="13" borderId="2" xfId="0" applyNumberFormat="1" applyFill="1" applyBorder="1"/>
    <xf numFmtId="4" fontId="0" fillId="14" borderId="2" xfId="0" applyNumberFormat="1" applyFill="1" applyBorder="1"/>
    <xf numFmtId="4" fontId="4" fillId="3" borderId="2" xfId="0" applyNumberFormat="1" applyFont="1" applyFill="1" applyBorder="1" applyAlignment="1">
      <alignment wrapText="1"/>
    </xf>
    <xf numFmtId="4" fontId="4" fillId="4" borderId="2" xfId="0" applyNumberFormat="1" applyFont="1" applyFill="1" applyBorder="1" applyAlignment="1">
      <alignment wrapText="1"/>
    </xf>
    <xf numFmtId="4" fontId="4" fillId="5" borderId="2" xfId="0" applyNumberFormat="1" applyFont="1" applyFill="1" applyBorder="1" applyAlignment="1">
      <alignment wrapText="1"/>
    </xf>
    <xf numFmtId="4" fontId="4" fillId="6" borderId="2" xfId="0" applyNumberFormat="1" applyFont="1" applyFill="1" applyBorder="1" applyAlignment="1">
      <alignment wrapText="1"/>
    </xf>
    <xf numFmtId="4" fontId="0" fillId="18" borderId="2" xfId="0" applyNumberFormat="1" applyFill="1" applyBorder="1"/>
    <xf numFmtId="4" fontId="2" fillId="8" borderId="0" xfId="0" applyNumberFormat="1" applyFont="1" applyFill="1"/>
    <xf numFmtId="0" fontId="3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horizontal="right" wrapText="1"/>
    </xf>
    <xf numFmtId="0" fontId="4" fillId="7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AAA7-1971-4AE9-9549-DD4FB4B4BAF0}">
  <sheetPr>
    <pageSetUpPr fitToPage="1"/>
  </sheetPr>
  <dimension ref="A1:AA170"/>
  <sheetViews>
    <sheetView tabSelected="1" topLeftCell="A134" workbookViewId="0">
      <selection activeCell="B148" sqref="B148"/>
    </sheetView>
  </sheetViews>
  <sheetFormatPr defaultRowHeight="15" x14ac:dyDescent="0.25"/>
  <cols>
    <col min="1" max="1" width="38.5703125" customWidth="1"/>
    <col min="2" max="2" width="15.28515625" customWidth="1"/>
    <col min="3" max="3" width="13.28515625" customWidth="1"/>
    <col min="4" max="4" width="14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 t="s">
        <v>4</v>
      </c>
      <c r="B2" s="2"/>
      <c r="C2" s="2"/>
      <c r="D2" s="2"/>
    </row>
    <row r="3" spans="1:4" x14ac:dyDescent="0.25">
      <c r="A3" s="4" t="s">
        <v>5</v>
      </c>
      <c r="B3" s="3"/>
      <c r="C3" s="3"/>
      <c r="D3" s="3"/>
    </row>
    <row r="4" spans="1:4" x14ac:dyDescent="0.25">
      <c r="A4" s="3" t="s">
        <v>6</v>
      </c>
      <c r="B4" s="3">
        <v>0.3</v>
      </c>
      <c r="C4" s="3">
        <v>24.85</v>
      </c>
      <c r="D4" s="45">
        <f>SUM(B4*C4)</f>
        <v>7.4550000000000001</v>
      </c>
    </row>
    <row r="5" spans="1:4" x14ac:dyDescent="0.25">
      <c r="A5" s="3" t="s">
        <v>7</v>
      </c>
      <c r="B5" s="3">
        <v>0.2</v>
      </c>
      <c r="C5" s="3">
        <v>24.85</v>
      </c>
      <c r="D5" s="45">
        <f t="shared" ref="D5:D67" si="0">SUM(B5*C5)</f>
        <v>4.9700000000000006</v>
      </c>
    </row>
    <row r="6" spans="1:4" x14ac:dyDescent="0.25">
      <c r="A6" s="3" t="s">
        <v>8</v>
      </c>
      <c r="B6" s="3">
        <v>0.2</v>
      </c>
      <c r="C6" s="3">
        <v>16.68</v>
      </c>
      <c r="D6" s="45">
        <f t="shared" si="0"/>
        <v>3.3360000000000003</v>
      </c>
    </row>
    <row r="7" spans="1:4" x14ac:dyDescent="0.25">
      <c r="A7" s="3" t="s">
        <v>9</v>
      </c>
      <c r="B7" s="3">
        <v>0</v>
      </c>
      <c r="C7" s="3">
        <v>24.85</v>
      </c>
      <c r="D7" s="45">
        <f t="shared" si="0"/>
        <v>0</v>
      </c>
    </row>
    <row r="8" spans="1:4" x14ac:dyDescent="0.25">
      <c r="A8" s="3" t="s">
        <v>10</v>
      </c>
      <c r="B8" s="3">
        <v>1.4</v>
      </c>
      <c r="C8" s="3">
        <v>17.989999999999998</v>
      </c>
      <c r="D8" s="45">
        <f t="shared" si="0"/>
        <v>25.185999999999996</v>
      </c>
    </row>
    <row r="9" spans="1:4" x14ac:dyDescent="0.25">
      <c r="A9" s="3" t="s">
        <v>11</v>
      </c>
      <c r="B9" s="3">
        <v>0</v>
      </c>
      <c r="C9" s="3">
        <v>22.97</v>
      </c>
      <c r="D9" s="45">
        <f t="shared" si="0"/>
        <v>0</v>
      </c>
    </row>
    <row r="10" spans="1:4" x14ac:dyDescent="0.25">
      <c r="A10" s="3" t="s">
        <v>12</v>
      </c>
      <c r="B10" s="3">
        <v>0</v>
      </c>
      <c r="C10" s="3">
        <v>23.5</v>
      </c>
      <c r="D10" s="45">
        <f t="shared" si="0"/>
        <v>0</v>
      </c>
    </row>
    <row r="11" spans="1:4" x14ac:dyDescent="0.25">
      <c r="A11" s="3" t="s">
        <v>13</v>
      </c>
      <c r="B11" s="3">
        <v>2.5</v>
      </c>
      <c r="C11" s="3">
        <v>12.99</v>
      </c>
      <c r="D11" s="45">
        <f t="shared" si="0"/>
        <v>32.475000000000001</v>
      </c>
    </row>
    <row r="12" spans="1:4" x14ac:dyDescent="0.25">
      <c r="A12" s="1"/>
      <c r="B12" s="1"/>
      <c r="C12" s="1"/>
      <c r="D12" s="46"/>
    </row>
    <row r="13" spans="1:4" x14ac:dyDescent="0.25">
      <c r="A13" s="5" t="s">
        <v>14</v>
      </c>
      <c r="B13" s="6"/>
      <c r="C13" s="6"/>
      <c r="D13" s="47"/>
    </row>
    <row r="14" spans="1:4" x14ac:dyDescent="0.25">
      <c r="A14" s="6" t="s">
        <v>15</v>
      </c>
      <c r="B14" s="6">
        <v>1.9</v>
      </c>
      <c r="C14" s="6">
        <v>14.99</v>
      </c>
      <c r="D14" s="45">
        <f t="shared" si="0"/>
        <v>28.480999999999998</v>
      </c>
    </row>
    <row r="15" spans="1:4" x14ac:dyDescent="0.25">
      <c r="A15" s="6" t="s">
        <v>16</v>
      </c>
      <c r="B15" s="6">
        <v>2.75</v>
      </c>
      <c r="C15" s="6">
        <v>16.190000000000001</v>
      </c>
      <c r="D15" s="45">
        <f t="shared" si="0"/>
        <v>44.522500000000001</v>
      </c>
    </row>
    <row r="16" spans="1:4" x14ac:dyDescent="0.25">
      <c r="A16" s="6" t="s">
        <v>17</v>
      </c>
      <c r="B16" s="6">
        <v>0.6</v>
      </c>
      <c r="C16" s="6">
        <v>17.489999999999998</v>
      </c>
      <c r="D16" s="45">
        <f t="shared" si="0"/>
        <v>10.493999999999998</v>
      </c>
    </row>
    <row r="17" spans="1:4" x14ac:dyDescent="0.25">
      <c r="A17" s="6" t="s">
        <v>18</v>
      </c>
      <c r="B17" s="6">
        <v>1.2</v>
      </c>
      <c r="C17" s="6">
        <v>17.690000000000001</v>
      </c>
      <c r="D17" s="45">
        <f t="shared" si="0"/>
        <v>21.228000000000002</v>
      </c>
    </row>
    <row r="18" spans="1:4" x14ac:dyDescent="0.25">
      <c r="A18" s="6" t="s">
        <v>19</v>
      </c>
      <c r="B18" s="6">
        <v>3.6</v>
      </c>
      <c r="C18" s="6">
        <v>11.99</v>
      </c>
      <c r="D18" s="45">
        <f t="shared" si="0"/>
        <v>43.164000000000001</v>
      </c>
    </row>
    <row r="19" spans="1:4" x14ac:dyDescent="0.25">
      <c r="A19" s="6" t="s">
        <v>20</v>
      </c>
      <c r="B19" s="6">
        <v>0.7</v>
      </c>
      <c r="C19" s="6">
        <v>24</v>
      </c>
      <c r="D19" s="45">
        <f t="shared" si="0"/>
        <v>16.799999999999997</v>
      </c>
    </row>
    <row r="20" spans="1:4" x14ac:dyDescent="0.25">
      <c r="A20" s="1"/>
      <c r="B20" s="1"/>
      <c r="C20" s="1"/>
      <c r="D20" s="46"/>
    </row>
    <row r="21" spans="1:4" x14ac:dyDescent="0.25">
      <c r="A21" s="7" t="s">
        <v>21</v>
      </c>
      <c r="B21" s="8"/>
      <c r="C21" s="8"/>
      <c r="D21" s="48"/>
    </row>
    <row r="22" spans="1:4" x14ac:dyDescent="0.25">
      <c r="A22" s="8" t="s">
        <v>22</v>
      </c>
      <c r="B22" s="8">
        <v>1.9</v>
      </c>
      <c r="C22" s="8">
        <v>14.89</v>
      </c>
      <c r="D22" s="45">
        <f t="shared" si="0"/>
        <v>28.291</v>
      </c>
    </row>
    <row r="23" spans="1:4" x14ac:dyDescent="0.25">
      <c r="A23" s="8" t="s">
        <v>23</v>
      </c>
      <c r="B23" s="8">
        <v>1.75</v>
      </c>
      <c r="C23" s="8">
        <v>23.49</v>
      </c>
      <c r="D23" s="45">
        <f t="shared" si="0"/>
        <v>41.107499999999995</v>
      </c>
    </row>
    <row r="24" spans="1:4" x14ac:dyDescent="0.25">
      <c r="A24" s="8" t="s">
        <v>24</v>
      </c>
      <c r="B24" s="8">
        <v>0.9</v>
      </c>
      <c r="C24" s="8">
        <v>23.5</v>
      </c>
      <c r="D24" s="45">
        <f t="shared" si="0"/>
        <v>21.150000000000002</v>
      </c>
    </row>
    <row r="25" spans="1:4" x14ac:dyDescent="0.25">
      <c r="A25" s="8" t="s">
        <v>25</v>
      </c>
      <c r="B25" s="8">
        <v>0.4</v>
      </c>
      <c r="C25" s="8">
        <v>18.989999999999998</v>
      </c>
      <c r="D25" s="45">
        <f t="shared" si="0"/>
        <v>7.5960000000000001</v>
      </c>
    </row>
    <row r="26" spans="1:4" x14ac:dyDescent="0.25">
      <c r="A26" s="8" t="s">
        <v>26</v>
      </c>
      <c r="B26" s="8">
        <v>2</v>
      </c>
      <c r="C26" s="8">
        <v>18.989999999999998</v>
      </c>
      <c r="D26" s="45">
        <f t="shared" si="0"/>
        <v>37.979999999999997</v>
      </c>
    </row>
    <row r="27" spans="1:4" x14ac:dyDescent="0.25">
      <c r="A27" s="8" t="s">
        <v>27</v>
      </c>
      <c r="B27" s="8">
        <v>6</v>
      </c>
      <c r="C27" s="8">
        <v>18.989999999999998</v>
      </c>
      <c r="D27" s="45">
        <f t="shared" si="0"/>
        <v>113.94</v>
      </c>
    </row>
    <row r="28" spans="1:4" x14ac:dyDescent="0.25">
      <c r="A28" s="1"/>
      <c r="B28" s="1"/>
      <c r="C28" s="1"/>
      <c r="D28" s="46"/>
    </row>
    <row r="29" spans="1:4" x14ac:dyDescent="0.25">
      <c r="A29" s="9" t="s">
        <v>28</v>
      </c>
      <c r="B29" s="10"/>
      <c r="C29" s="10"/>
      <c r="D29" s="49"/>
    </row>
    <row r="30" spans="1:4" x14ac:dyDescent="0.25">
      <c r="A30" s="10" t="s">
        <v>29</v>
      </c>
      <c r="B30" s="10">
        <v>2.25</v>
      </c>
      <c r="C30" s="10">
        <v>17.989999999999998</v>
      </c>
      <c r="D30" s="45">
        <f t="shared" si="0"/>
        <v>40.477499999999999</v>
      </c>
    </row>
    <row r="31" spans="1:4" x14ac:dyDescent="0.25">
      <c r="A31" s="10" t="s">
        <v>30</v>
      </c>
      <c r="B31" s="10">
        <v>1</v>
      </c>
      <c r="C31" s="10">
        <v>17.989999999999998</v>
      </c>
      <c r="D31" s="45">
        <f t="shared" si="0"/>
        <v>17.989999999999998</v>
      </c>
    </row>
    <row r="32" spans="1:4" x14ac:dyDescent="0.25">
      <c r="A32" s="10" t="s">
        <v>31</v>
      </c>
      <c r="B32" s="10">
        <v>1.8</v>
      </c>
      <c r="C32" s="10">
        <v>17.989999999999998</v>
      </c>
      <c r="D32" s="45">
        <f t="shared" si="0"/>
        <v>32.381999999999998</v>
      </c>
    </row>
    <row r="33" spans="1:4" x14ac:dyDescent="0.25">
      <c r="A33" s="10" t="s">
        <v>32</v>
      </c>
      <c r="B33" s="10">
        <v>1.1000000000000001</v>
      </c>
      <c r="C33" s="10">
        <v>16.489999999999998</v>
      </c>
      <c r="D33" s="45">
        <f t="shared" si="0"/>
        <v>18.138999999999999</v>
      </c>
    </row>
    <row r="34" spans="1:4" x14ac:dyDescent="0.25">
      <c r="A34" s="10" t="s">
        <v>33</v>
      </c>
      <c r="B34" s="10">
        <v>0.55000000000000004</v>
      </c>
      <c r="C34" s="10">
        <v>28.5</v>
      </c>
      <c r="D34" s="45">
        <f t="shared" si="0"/>
        <v>15.675000000000001</v>
      </c>
    </row>
    <row r="35" spans="1:4" x14ac:dyDescent="0.25">
      <c r="A35" s="10" t="s">
        <v>34</v>
      </c>
      <c r="B35" s="10">
        <v>0</v>
      </c>
      <c r="C35" s="10">
        <v>23.49</v>
      </c>
      <c r="D35" s="45">
        <f t="shared" si="0"/>
        <v>0</v>
      </c>
    </row>
    <row r="36" spans="1:4" x14ac:dyDescent="0.25">
      <c r="A36" s="10" t="s">
        <v>35</v>
      </c>
      <c r="B36" s="10">
        <v>1.1000000000000001</v>
      </c>
      <c r="C36" s="10">
        <v>20.99</v>
      </c>
      <c r="D36" s="45">
        <f t="shared" si="0"/>
        <v>23.088999999999999</v>
      </c>
    </row>
    <row r="37" spans="1:4" x14ac:dyDescent="0.25">
      <c r="A37" s="10" t="s">
        <v>36</v>
      </c>
      <c r="B37" s="10">
        <v>0.5</v>
      </c>
      <c r="C37" s="10">
        <v>14.99</v>
      </c>
      <c r="D37" s="45">
        <f t="shared" si="0"/>
        <v>7.4950000000000001</v>
      </c>
    </row>
    <row r="38" spans="1:4" x14ac:dyDescent="0.25">
      <c r="A38" s="10" t="s">
        <v>37</v>
      </c>
      <c r="B38" s="10">
        <v>0</v>
      </c>
      <c r="C38" s="10">
        <v>31.99</v>
      </c>
      <c r="D38" s="45">
        <f t="shared" si="0"/>
        <v>0</v>
      </c>
    </row>
    <row r="39" spans="1:4" x14ac:dyDescent="0.25">
      <c r="A39" s="10" t="s">
        <v>38</v>
      </c>
      <c r="B39" s="10">
        <v>0</v>
      </c>
      <c r="C39" s="10">
        <v>28</v>
      </c>
      <c r="D39" s="45">
        <f t="shared" si="0"/>
        <v>0</v>
      </c>
    </row>
    <row r="40" spans="1:4" x14ac:dyDescent="0.25">
      <c r="A40" s="10" t="s">
        <v>39</v>
      </c>
      <c r="B40" s="10">
        <v>0.6</v>
      </c>
      <c r="C40" s="10">
        <v>15.99</v>
      </c>
      <c r="D40" s="45">
        <f t="shared" si="0"/>
        <v>9.5939999999999994</v>
      </c>
    </row>
    <row r="41" spans="1:4" x14ac:dyDescent="0.25">
      <c r="A41" s="10" t="s">
        <v>40</v>
      </c>
      <c r="B41" s="10">
        <v>1</v>
      </c>
      <c r="C41" s="10">
        <v>20.29</v>
      </c>
      <c r="D41" s="45">
        <f t="shared" si="0"/>
        <v>20.29</v>
      </c>
    </row>
    <row r="42" spans="1:4" x14ac:dyDescent="0.25">
      <c r="A42" s="10" t="s">
        <v>41</v>
      </c>
      <c r="B42" s="10">
        <v>1</v>
      </c>
      <c r="C42" s="10">
        <v>12.49</v>
      </c>
      <c r="D42" s="45">
        <f t="shared" si="0"/>
        <v>12.49</v>
      </c>
    </row>
    <row r="43" spans="1:4" x14ac:dyDescent="0.25">
      <c r="A43" s="10" t="s">
        <v>42</v>
      </c>
      <c r="B43" s="10">
        <v>1.45</v>
      </c>
      <c r="C43" s="10">
        <v>16.989999999999998</v>
      </c>
      <c r="D43" s="45">
        <f t="shared" si="0"/>
        <v>24.635499999999997</v>
      </c>
    </row>
    <row r="44" spans="1:4" x14ac:dyDescent="0.25">
      <c r="A44" s="1"/>
      <c r="B44" s="1"/>
      <c r="C44" s="1"/>
      <c r="D44" s="46"/>
    </row>
    <row r="45" spans="1:4" x14ac:dyDescent="0.25">
      <c r="A45" s="11" t="s">
        <v>43</v>
      </c>
      <c r="B45" s="12"/>
      <c r="C45" s="12"/>
      <c r="D45" s="50"/>
    </row>
    <row r="46" spans="1:4" x14ac:dyDescent="0.25">
      <c r="A46" s="12" t="s">
        <v>44</v>
      </c>
      <c r="B46" s="12">
        <v>1.1000000000000001</v>
      </c>
      <c r="C46" s="12">
        <v>16.489999999999998</v>
      </c>
      <c r="D46" s="45">
        <f t="shared" si="0"/>
        <v>18.138999999999999</v>
      </c>
    </row>
    <row r="47" spans="1:4" x14ac:dyDescent="0.25">
      <c r="A47" s="12" t="s">
        <v>45</v>
      </c>
      <c r="B47" s="12">
        <v>1.9</v>
      </c>
      <c r="C47" s="12">
        <v>12.49</v>
      </c>
      <c r="D47" s="45">
        <f t="shared" si="0"/>
        <v>23.730999999999998</v>
      </c>
    </row>
    <row r="48" spans="1:4" x14ac:dyDescent="0.25">
      <c r="A48" s="12" t="s">
        <v>46</v>
      </c>
      <c r="B48" s="12">
        <v>1.7</v>
      </c>
      <c r="C48" s="12">
        <v>12.49</v>
      </c>
      <c r="D48" s="45">
        <f t="shared" si="0"/>
        <v>21.233000000000001</v>
      </c>
    </row>
    <row r="49" spans="1:4" x14ac:dyDescent="0.25">
      <c r="A49" s="12" t="s">
        <v>47</v>
      </c>
      <c r="B49" s="12">
        <v>0</v>
      </c>
      <c r="C49" s="12">
        <v>8.99</v>
      </c>
      <c r="D49" s="45">
        <f t="shared" si="0"/>
        <v>0</v>
      </c>
    </row>
    <row r="50" spans="1:4" x14ac:dyDescent="0.25">
      <c r="A50" s="12" t="s">
        <v>48</v>
      </c>
      <c r="B50" s="12">
        <v>0.6</v>
      </c>
      <c r="C50" s="12">
        <v>11.99</v>
      </c>
      <c r="D50" s="45">
        <f t="shared" si="0"/>
        <v>7.194</v>
      </c>
    </row>
    <row r="51" spans="1:4" x14ac:dyDescent="0.25">
      <c r="A51" s="12" t="s">
        <v>49</v>
      </c>
      <c r="B51" s="12">
        <v>1.3</v>
      </c>
      <c r="C51" s="12">
        <v>12.99</v>
      </c>
      <c r="D51" s="45">
        <f t="shared" si="0"/>
        <v>16.887</v>
      </c>
    </row>
    <row r="52" spans="1:4" x14ac:dyDescent="0.25">
      <c r="A52" s="12" t="s">
        <v>50</v>
      </c>
      <c r="B52" s="12">
        <v>1</v>
      </c>
      <c r="C52" s="12">
        <v>11.99</v>
      </c>
      <c r="D52" s="45">
        <f t="shared" si="0"/>
        <v>11.99</v>
      </c>
    </row>
    <row r="53" spans="1:4" x14ac:dyDescent="0.25">
      <c r="A53" s="12" t="s">
        <v>51</v>
      </c>
      <c r="B53" s="12">
        <v>0.6</v>
      </c>
      <c r="C53" s="12">
        <v>11.99</v>
      </c>
      <c r="D53" s="45">
        <f t="shared" si="0"/>
        <v>7.194</v>
      </c>
    </row>
    <row r="54" spans="1:4" x14ac:dyDescent="0.25">
      <c r="A54" s="12" t="s">
        <v>52</v>
      </c>
      <c r="B54" s="12">
        <v>0.5</v>
      </c>
      <c r="C54" s="12">
        <v>12.29</v>
      </c>
      <c r="D54" s="45">
        <f t="shared" si="0"/>
        <v>6.1449999999999996</v>
      </c>
    </row>
    <row r="55" spans="1:4" x14ac:dyDescent="0.25">
      <c r="A55" s="12" t="s">
        <v>53</v>
      </c>
      <c r="B55" s="12">
        <v>1.25</v>
      </c>
      <c r="C55" s="12">
        <v>11.49</v>
      </c>
      <c r="D55" s="45">
        <f t="shared" si="0"/>
        <v>14.362500000000001</v>
      </c>
    </row>
    <row r="56" spans="1:4" x14ac:dyDescent="0.25">
      <c r="A56" s="12" t="s">
        <v>54</v>
      </c>
      <c r="B56" s="12">
        <v>0.4</v>
      </c>
      <c r="C56" s="12">
        <v>9.99</v>
      </c>
      <c r="D56" s="45">
        <f t="shared" si="0"/>
        <v>3.9960000000000004</v>
      </c>
    </row>
    <row r="57" spans="1:4" x14ac:dyDescent="0.25">
      <c r="A57" s="12" t="s">
        <v>55</v>
      </c>
      <c r="B57" s="12">
        <v>0.8</v>
      </c>
      <c r="C57" s="12">
        <v>14.99</v>
      </c>
      <c r="D57" s="45">
        <f t="shared" si="0"/>
        <v>11.992000000000001</v>
      </c>
    </row>
    <row r="58" spans="1:4" x14ac:dyDescent="0.25">
      <c r="A58" s="12" t="s">
        <v>56</v>
      </c>
      <c r="B58" s="12">
        <v>1</v>
      </c>
      <c r="C58" s="12">
        <v>11.99</v>
      </c>
      <c r="D58" s="45">
        <f t="shared" si="0"/>
        <v>11.99</v>
      </c>
    </row>
    <row r="59" spans="1:4" x14ac:dyDescent="0.25">
      <c r="A59" s="12" t="s">
        <v>57</v>
      </c>
      <c r="B59" s="12">
        <v>2.2999999999999998</v>
      </c>
      <c r="C59" s="12">
        <v>14</v>
      </c>
      <c r="D59" s="45">
        <f t="shared" si="0"/>
        <v>32.199999999999996</v>
      </c>
    </row>
    <row r="60" spans="1:4" x14ac:dyDescent="0.25">
      <c r="A60" s="12" t="s">
        <v>146</v>
      </c>
      <c r="B60" s="12">
        <v>1.9</v>
      </c>
      <c r="C60" s="12">
        <v>12.99</v>
      </c>
      <c r="D60" s="45">
        <f t="shared" si="0"/>
        <v>24.681000000000001</v>
      </c>
    </row>
    <row r="61" spans="1:4" x14ac:dyDescent="0.25">
      <c r="A61" s="12" t="s">
        <v>58</v>
      </c>
      <c r="B61" s="12">
        <v>0.8</v>
      </c>
      <c r="C61" s="12">
        <v>14.99</v>
      </c>
      <c r="D61" s="45">
        <f t="shared" si="0"/>
        <v>11.992000000000001</v>
      </c>
    </row>
    <row r="62" spans="1:4" x14ac:dyDescent="0.25">
      <c r="A62" s="12" t="s">
        <v>59</v>
      </c>
      <c r="B62" s="12">
        <v>1</v>
      </c>
      <c r="C62" s="12">
        <v>400</v>
      </c>
      <c r="D62" s="45">
        <f t="shared" si="0"/>
        <v>400</v>
      </c>
    </row>
    <row r="63" spans="1:4" x14ac:dyDescent="0.25">
      <c r="A63" s="1"/>
      <c r="B63" s="1"/>
      <c r="C63" s="1"/>
      <c r="D63" s="46"/>
    </row>
    <row r="64" spans="1:4" x14ac:dyDescent="0.25">
      <c r="A64" s="1"/>
      <c r="B64" s="1"/>
      <c r="C64" s="1"/>
      <c r="D64" s="46"/>
    </row>
    <row r="65" spans="1:27" x14ac:dyDescent="0.25">
      <c r="A65" s="14" t="s">
        <v>60</v>
      </c>
      <c r="B65" s="13"/>
      <c r="C65" s="13"/>
      <c r="D65" s="51"/>
    </row>
    <row r="66" spans="1:27" x14ac:dyDescent="0.25">
      <c r="A66" s="13" t="s">
        <v>61</v>
      </c>
      <c r="B66" s="13">
        <v>0.4</v>
      </c>
      <c r="C66" s="13">
        <v>6.99</v>
      </c>
      <c r="D66" s="45">
        <f t="shared" si="0"/>
        <v>2.7960000000000003</v>
      </c>
    </row>
    <row r="67" spans="1:27" x14ac:dyDescent="0.25">
      <c r="A67" s="13" t="s">
        <v>62</v>
      </c>
      <c r="B67" s="13">
        <v>0</v>
      </c>
      <c r="C67" s="13">
        <v>0</v>
      </c>
      <c r="D67" s="45">
        <f t="shared" si="0"/>
        <v>0</v>
      </c>
    </row>
    <row r="68" spans="1:27" x14ac:dyDescent="0.25">
      <c r="A68" s="24"/>
      <c r="B68" s="24"/>
      <c r="C68" s="24"/>
      <c r="D68" s="46"/>
    </row>
    <row r="69" spans="1:27" x14ac:dyDescent="0.25">
      <c r="A69" s="27" t="s">
        <v>63</v>
      </c>
      <c r="B69" s="28"/>
      <c r="C69" s="28"/>
      <c r="D69" s="46"/>
      <c r="E69" s="26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spans="1:27" x14ac:dyDescent="0.25">
      <c r="A70" s="29" t="s">
        <v>64</v>
      </c>
      <c r="B70" s="30"/>
      <c r="C70" s="30"/>
      <c r="D70" s="52"/>
      <c r="E70" s="26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spans="1:27" s="15" customFormat="1" x14ac:dyDescent="0.25">
      <c r="A71" s="30" t="s">
        <v>134</v>
      </c>
      <c r="B71" s="30">
        <v>9.4</v>
      </c>
      <c r="C71" s="31">
        <v>5.98</v>
      </c>
      <c r="D71" s="45">
        <f t="shared" ref="D71:D150" si="1">SUM(B71*C71)</f>
        <v>56.212000000000003</v>
      </c>
      <c r="E71" s="26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spans="1:27" x14ac:dyDescent="0.25">
      <c r="A72" s="30" t="s">
        <v>135</v>
      </c>
      <c r="B72" s="30">
        <v>5.9</v>
      </c>
      <c r="C72" s="31">
        <v>7.23</v>
      </c>
      <c r="D72" s="45">
        <f t="shared" si="1"/>
        <v>42.657000000000004</v>
      </c>
      <c r="E72" s="26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spans="1:27" x14ac:dyDescent="0.25">
      <c r="A73" s="32"/>
      <c r="B73" s="28"/>
      <c r="C73" s="28"/>
      <c r="D73" s="46"/>
      <c r="E73" s="26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spans="1:27" x14ac:dyDescent="0.25">
      <c r="A74" s="33" t="s">
        <v>65</v>
      </c>
      <c r="B74" s="34"/>
      <c r="C74" s="34"/>
      <c r="D74" s="53"/>
      <c r="E74" s="26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x14ac:dyDescent="0.25">
      <c r="A75" s="34" t="s">
        <v>136</v>
      </c>
      <c r="B75" s="34">
        <v>9.5</v>
      </c>
      <c r="C75" s="35">
        <v>5.41</v>
      </c>
      <c r="D75" s="45">
        <f t="shared" si="1"/>
        <v>51.395000000000003</v>
      </c>
      <c r="E75" s="26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1:27" x14ac:dyDescent="0.25">
      <c r="A76" s="34" t="s">
        <v>137</v>
      </c>
      <c r="B76" s="34">
        <v>12</v>
      </c>
      <c r="C76" s="35">
        <v>5.8</v>
      </c>
      <c r="D76" s="45">
        <f t="shared" si="1"/>
        <v>69.599999999999994</v>
      </c>
      <c r="E76" s="26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spans="1:27" x14ac:dyDescent="0.25">
      <c r="A77" s="34" t="s">
        <v>138</v>
      </c>
      <c r="B77" s="34">
        <v>5.2</v>
      </c>
      <c r="C77" s="35">
        <v>7</v>
      </c>
      <c r="D77" s="45">
        <f t="shared" si="1"/>
        <v>36.4</v>
      </c>
      <c r="E77" s="26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spans="1:27" x14ac:dyDescent="0.25">
      <c r="A78" s="32"/>
      <c r="B78" s="28"/>
      <c r="C78" s="28"/>
      <c r="D78" s="46"/>
      <c r="E78" s="26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spans="1:27" x14ac:dyDescent="0.25">
      <c r="A79" s="36" t="s">
        <v>66</v>
      </c>
      <c r="B79" s="37"/>
      <c r="C79" s="37"/>
      <c r="D79" s="54"/>
      <c r="E79" s="26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1:27" x14ac:dyDescent="0.25">
      <c r="A80" s="37" t="s">
        <v>139</v>
      </c>
      <c r="B80" s="37">
        <v>6.9</v>
      </c>
      <c r="C80" s="38">
        <v>5.35</v>
      </c>
      <c r="D80" s="45">
        <f t="shared" si="1"/>
        <v>36.914999999999999</v>
      </c>
      <c r="E80" s="26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spans="1:27" x14ac:dyDescent="0.25">
      <c r="A81" s="37" t="s">
        <v>140</v>
      </c>
      <c r="B81" s="37">
        <v>15.3</v>
      </c>
      <c r="C81" s="38">
        <v>5.8</v>
      </c>
      <c r="D81" s="45">
        <f t="shared" si="1"/>
        <v>88.74</v>
      </c>
      <c r="E81" s="26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spans="1:27" x14ac:dyDescent="0.25">
      <c r="A82" s="28"/>
      <c r="B82" s="28"/>
      <c r="C82" s="28"/>
      <c r="D82" s="46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spans="1:27" x14ac:dyDescent="0.25">
      <c r="A83" s="39" t="s">
        <v>67</v>
      </c>
      <c r="B83" s="40"/>
      <c r="C83" s="40"/>
      <c r="D83" s="5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spans="1:27" x14ac:dyDescent="0.25">
      <c r="A84" s="40" t="s">
        <v>141</v>
      </c>
      <c r="B84" s="40">
        <v>6</v>
      </c>
      <c r="C84" s="41">
        <v>6.92</v>
      </c>
      <c r="D84" s="45">
        <f t="shared" si="1"/>
        <v>41.519999999999996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spans="1:27" x14ac:dyDescent="0.25">
      <c r="A85" s="40" t="s">
        <v>142</v>
      </c>
      <c r="B85" s="40">
        <v>0.5</v>
      </c>
      <c r="C85" s="41">
        <v>7.21</v>
      </c>
      <c r="D85" s="45">
        <f t="shared" si="1"/>
        <v>3.605</v>
      </c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spans="1:27" x14ac:dyDescent="0.25">
      <c r="A86" s="40" t="s">
        <v>143</v>
      </c>
      <c r="B86" s="40">
        <v>9.1999999999999993</v>
      </c>
      <c r="C86" s="41">
        <v>5.74</v>
      </c>
      <c r="D86" s="45">
        <f t="shared" si="1"/>
        <v>52.808</v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ht="15.75" thickBot="1" x14ac:dyDescent="0.3">
      <c r="A87" s="28"/>
      <c r="B87" s="28"/>
      <c r="C87" s="28"/>
      <c r="D87" s="46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spans="1:27" ht="15.75" thickBot="1" x14ac:dyDescent="0.3">
      <c r="A88" s="58" t="s">
        <v>68</v>
      </c>
      <c r="B88" s="59"/>
      <c r="C88" s="59"/>
      <c r="D88" s="59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ht="15.75" thickBot="1" x14ac:dyDescent="0.3">
      <c r="A89" s="59" t="s">
        <v>69</v>
      </c>
      <c r="B89" s="59">
        <v>7.5</v>
      </c>
      <c r="C89" s="60">
        <v>1.0900000000000001</v>
      </c>
      <c r="D89" s="60">
        <f>SUM(B89*C89)</f>
        <v>8.1750000000000007</v>
      </c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ht="15.75" thickBot="1" x14ac:dyDescent="0.3">
      <c r="A90" s="59" t="s">
        <v>70</v>
      </c>
      <c r="B90" s="59">
        <v>22.2</v>
      </c>
      <c r="C90" s="60">
        <v>1.1599999999999999</v>
      </c>
      <c r="D90" s="60">
        <f t="shared" ref="D90:D103" si="2">SUM(B90*C90)</f>
        <v>25.751999999999999</v>
      </c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spans="1:27" ht="15.75" thickBot="1" x14ac:dyDescent="0.3">
      <c r="A91" s="59" t="s">
        <v>71</v>
      </c>
      <c r="B91" s="59">
        <v>4.0999999999999996</v>
      </c>
      <c r="C91" s="60">
        <v>2.99</v>
      </c>
      <c r="D91" s="60">
        <f t="shared" si="2"/>
        <v>12.259</v>
      </c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spans="1:27" ht="15.75" thickBot="1" x14ac:dyDescent="0.3">
      <c r="A92" s="59" t="s">
        <v>72</v>
      </c>
      <c r="B92" s="59">
        <v>8.1999999999999993</v>
      </c>
      <c r="C92" s="60">
        <v>2.99</v>
      </c>
      <c r="D92" s="60">
        <f t="shared" si="2"/>
        <v>24.518000000000001</v>
      </c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spans="1:27" ht="15.75" thickBot="1" x14ac:dyDescent="0.3">
      <c r="A93" s="59" t="s">
        <v>73</v>
      </c>
      <c r="B93" s="59">
        <v>16</v>
      </c>
      <c r="C93" s="60">
        <v>2.99</v>
      </c>
      <c r="D93" s="60">
        <f t="shared" si="2"/>
        <v>47.84</v>
      </c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spans="1:27" ht="15.75" thickBot="1" x14ac:dyDescent="0.3">
      <c r="A94" s="59" t="s">
        <v>74</v>
      </c>
      <c r="B94" s="59">
        <v>4</v>
      </c>
      <c r="C94" s="60">
        <v>0.75</v>
      </c>
      <c r="D94" s="60">
        <f t="shared" si="2"/>
        <v>3</v>
      </c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ht="15.75" thickBot="1" x14ac:dyDescent="0.3">
      <c r="A95" s="59" t="s">
        <v>75</v>
      </c>
      <c r="B95" s="59">
        <v>17</v>
      </c>
      <c r="C95" s="60">
        <v>0.7</v>
      </c>
      <c r="D95" s="60">
        <f t="shared" si="2"/>
        <v>11.899999999999999</v>
      </c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spans="1:27" ht="15.75" thickBot="1" x14ac:dyDescent="0.3">
      <c r="A96" s="59" t="s">
        <v>76</v>
      </c>
      <c r="B96" s="59">
        <v>15</v>
      </c>
      <c r="C96" s="60">
        <v>0.7</v>
      </c>
      <c r="D96" s="60">
        <f t="shared" si="2"/>
        <v>10.5</v>
      </c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spans="1:27" ht="15.75" thickBot="1" x14ac:dyDescent="0.3">
      <c r="A97" s="59" t="s">
        <v>77</v>
      </c>
      <c r="B97" s="59">
        <v>21</v>
      </c>
      <c r="C97" s="60">
        <v>0.94</v>
      </c>
      <c r="D97" s="60">
        <f t="shared" si="2"/>
        <v>19.739999999999998</v>
      </c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spans="1:27" ht="15.75" thickBot="1" x14ac:dyDescent="0.3">
      <c r="A98" s="59" t="s">
        <v>78</v>
      </c>
      <c r="B98" s="59">
        <v>7</v>
      </c>
      <c r="C98" s="60">
        <v>1.24</v>
      </c>
      <c r="D98" s="60">
        <f t="shared" si="2"/>
        <v>8.68</v>
      </c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spans="1:27" ht="15.75" thickBot="1" x14ac:dyDescent="0.3">
      <c r="A99" s="59" t="s">
        <v>79</v>
      </c>
      <c r="B99" s="59">
        <v>11</v>
      </c>
      <c r="C99" s="60">
        <v>5.05</v>
      </c>
      <c r="D99" s="60">
        <f t="shared" si="2"/>
        <v>55.55</v>
      </c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spans="1:27" ht="15.75" thickBot="1" x14ac:dyDescent="0.3">
      <c r="A100" s="59" t="s">
        <v>80</v>
      </c>
      <c r="B100" s="59">
        <v>48</v>
      </c>
      <c r="C100" s="60">
        <v>0.15</v>
      </c>
      <c r="D100" s="60">
        <f t="shared" si="2"/>
        <v>7.1999999999999993</v>
      </c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spans="1:27" ht="15.75" thickBot="1" x14ac:dyDescent="0.3">
      <c r="A101" s="59" t="s">
        <v>81</v>
      </c>
      <c r="B101" s="59">
        <v>0</v>
      </c>
      <c r="C101" s="60">
        <v>0.55000000000000004</v>
      </c>
      <c r="D101" s="60">
        <f t="shared" si="2"/>
        <v>0</v>
      </c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spans="1:27" ht="15.75" thickBot="1" x14ac:dyDescent="0.3">
      <c r="A102" s="59" t="s">
        <v>144</v>
      </c>
      <c r="B102" s="59">
        <v>3.6</v>
      </c>
      <c r="C102" s="59">
        <v>4</v>
      </c>
      <c r="D102" s="59">
        <f t="shared" si="2"/>
        <v>14.4</v>
      </c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spans="1:27" x14ac:dyDescent="0.25">
      <c r="A103" s="61" t="s">
        <v>145</v>
      </c>
      <c r="B103" s="61">
        <v>1</v>
      </c>
      <c r="C103" s="61">
        <v>4</v>
      </c>
      <c r="D103" s="61">
        <f t="shared" si="2"/>
        <v>4</v>
      </c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spans="1:27" x14ac:dyDescent="0.25">
      <c r="A104" s="28"/>
      <c r="B104" s="28"/>
      <c r="C104" s="28"/>
      <c r="D104" s="46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spans="1:27" x14ac:dyDescent="0.25">
      <c r="A105" s="28"/>
      <c r="B105" s="28"/>
      <c r="C105" s="28"/>
      <c r="D105" s="46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spans="1:27" x14ac:dyDescent="0.25">
      <c r="A106" s="42" t="s">
        <v>82</v>
      </c>
      <c r="B106" s="42">
        <v>36</v>
      </c>
      <c r="C106" s="42">
        <v>1.37</v>
      </c>
      <c r="D106" s="45">
        <f t="shared" si="1"/>
        <v>49.320000000000007</v>
      </c>
    </row>
    <row r="107" spans="1:27" x14ac:dyDescent="0.25">
      <c r="A107" s="10" t="s">
        <v>83</v>
      </c>
      <c r="B107" s="10">
        <v>27</v>
      </c>
      <c r="C107" s="10">
        <v>1.37</v>
      </c>
      <c r="D107" s="45">
        <f t="shared" si="1"/>
        <v>36.99</v>
      </c>
    </row>
    <row r="108" spans="1:27" x14ac:dyDescent="0.25">
      <c r="A108" s="10" t="s">
        <v>84</v>
      </c>
      <c r="B108" s="10">
        <v>11</v>
      </c>
      <c r="C108" s="10">
        <v>1.19</v>
      </c>
      <c r="D108" s="45">
        <f t="shared" si="1"/>
        <v>13.09</v>
      </c>
    </row>
    <row r="109" spans="1:27" x14ac:dyDescent="0.25">
      <c r="A109" s="10" t="s">
        <v>85</v>
      </c>
      <c r="B109" s="10">
        <v>19</v>
      </c>
      <c r="C109" s="10">
        <v>1.08</v>
      </c>
      <c r="D109" s="45">
        <f t="shared" si="1"/>
        <v>20.520000000000003</v>
      </c>
    </row>
    <row r="110" spans="1:27" x14ac:dyDescent="0.25">
      <c r="A110" s="10" t="s">
        <v>86</v>
      </c>
      <c r="B110" s="10">
        <v>6</v>
      </c>
      <c r="C110" s="10">
        <v>0.94</v>
      </c>
      <c r="D110" s="45">
        <f t="shared" si="1"/>
        <v>5.64</v>
      </c>
    </row>
    <row r="111" spans="1:27" x14ac:dyDescent="0.25">
      <c r="A111" s="10" t="s">
        <v>87</v>
      </c>
      <c r="B111" s="10">
        <v>1</v>
      </c>
      <c r="C111" s="10">
        <v>0.94</v>
      </c>
      <c r="D111" s="45">
        <f t="shared" si="1"/>
        <v>0.94</v>
      </c>
    </row>
    <row r="112" spans="1:27" x14ac:dyDescent="0.25">
      <c r="A112" s="10" t="s">
        <v>88</v>
      </c>
      <c r="B112" s="10">
        <v>0</v>
      </c>
      <c r="C112" s="10">
        <v>6.27</v>
      </c>
      <c r="D112" s="45">
        <f t="shared" si="1"/>
        <v>0</v>
      </c>
    </row>
    <row r="113" spans="1:4" x14ac:dyDescent="0.25">
      <c r="A113" s="10" t="s">
        <v>89</v>
      </c>
      <c r="B113" s="10">
        <v>0</v>
      </c>
      <c r="C113" s="10">
        <v>1.3</v>
      </c>
      <c r="D113" s="45">
        <f t="shared" si="1"/>
        <v>0</v>
      </c>
    </row>
    <row r="114" spans="1:4" x14ac:dyDescent="0.25">
      <c r="A114" s="10" t="s">
        <v>90</v>
      </c>
      <c r="B114" s="10">
        <v>0</v>
      </c>
      <c r="C114" s="10">
        <v>2.1</v>
      </c>
      <c r="D114" s="45">
        <f t="shared" si="1"/>
        <v>0</v>
      </c>
    </row>
    <row r="115" spans="1:4" x14ac:dyDescent="0.25">
      <c r="A115" s="10" t="s">
        <v>91</v>
      </c>
      <c r="B115" s="10">
        <v>0</v>
      </c>
      <c r="C115" s="10">
        <v>1.75</v>
      </c>
      <c r="D115" s="45">
        <f t="shared" si="1"/>
        <v>0</v>
      </c>
    </row>
    <row r="116" spans="1:4" x14ac:dyDescent="0.25">
      <c r="A116" s="10" t="s">
        <v>92</v>
      </c>
      <c r="B116" s="10">
        <v>0</v>
      </c>
      <c r="C116" s="10">
        <v>2.41</v>
      </c>
      <c r="D116" s="45">
        <f t="shared" si="1"/>
        <v>0</v>
      </c>
    </row>
    <row r="117" spans="1:4" x14ac:dyDescent="0.25">
      <c r="A117" s="10" t="s">
        <v>93</v>
      </c>
      <c r="B117" s="10">
        <v>54</v>
      </c>
      <c r="C117" s="10">
        <v>1.7</v>
      </c>
      <c r="D117" s="45">
        <f t="shared" si="1"/>
        <v>91.8</v>
      </c>
    </row>
    <row r="118" spans="1:4" x14ac:dyDescent="0.25">
      <c r="A118" s="10" t="s">
        <v>94</v>
      </c>
      <c r="B118" s="10">
        <v>31</v>
      </c>
      <c r="C118" s="10">
        <v>1.02</v>
      </c>
      <c r="D118" s="45">
        <f t="shared" si="1"/>
        <v>31.62</v>
      </c>
    </row>
    <row r="119" spans="1:4" x14ac:dyDescent="0.25">
      <c r="A119" s="10" t="s">
        <v>95</v>
      </c>
      <c r="B119" s="10">
        <v>466</v>
      </c>
      <c r="C119" s="10">
        <v>1.33</v>
      </c>
      <c r="D119" s="45">
        <f t="shared" si="1"/>
        <v>619.78000000000009</v>
      </c>
    </row>
    <row r="120" spans="1:4" x14ac:dyDescent="0.25">
      <c r="A120" s="10" t="s">
        <v>96</v>
      </c>
      <c r="B120" s="10">
        <v>0</v>
      </c>
      <c r="C120" s="10">
        <v>0.89</v>
      </c>
      <c r="D120" s="45">
        <f t="shared" si="1"/>
        <v>0</v>
      </c>
    </row>
    <row r="121" spans="1:4" x14ac:dyDescent="0.25">
      <c r="A121" s="10" t="s">
        <v>97</v>
      </c>
      <c r="B121" s="10">
        <v>7</v>
      </c>
      <c r="C121" s="10">
        <v>4.5</v>
      </c>
      <c r="D121" s="45">
        <f t="shared" si="1"/>
        <v>31.5</v>
      </c>
    </row>
    <row r="122" spans="1:4" x14ac:dyDescent="0.25">
      <c r="A122" s="10" t="s">
        <v>98</v>
      </c>
      <c r="B122" s="10">
        <v>0</v>
      </c>
      <c r="C122" s="10">
        <v>5.2</v>
      </c>
      <c r="D122" s="45">
        <f t="shared" si="1"/>
        <v>0</v>
      </c>
    </row>
    <row r="123" spans="1:4" x14ac:dyDescent="0.25">
      <c r="A123" s="10" t="s">
        <v>99</v>
      </c>
      <c r="B123" s="10">
        <v>15</v>
      </c>
      <c r="C123" s="10">
        <v>5.2</v>
      </c>
      <c r="D123" s="45">
        <f t="shared" si="1"/>
        <v>78</v>
      </c>
    </row>
    <row r="124" spans="1:4" x14ac:dyDescent="0.25">
      <c r="A124" s="1"/>
      <c r="B124" s="1"/>
      <c r="C124" s="43"/>
      <c r="D124" s="46"/>
    </row>
    <row r="125" spans="1:4" x14ac:dyDescent="0.25">
      <c r="A125" s="18" t="s">
        <v>100</v>
      </c>
      <c r="B125" s="19"/>
      <c r="C125" s="19"/>
      <c r="D125" s="45">
        <f t="shared" si="1"/>
        <v>0</v>
      </c>
    </row>
    <row r="126" spans="1:4" x14ac:dyDescent="0.25">
      <c r="A126" s="19" t="s">
        <v>101</v>
      </c>
      <c r="B126" s="19">
        <v>2</v>
      </c>
      <c r="C126" s="19">
        <v>43.12</v>
      </c>
      <c r="D126" s="45">
        <f t="shared" si="1"/>
        <v>86.24</v>
      </c>
    </row>
    <row r="127" spans="1:4" x14ac:dyDescent="0.25">
      <c r="A127" s="19" t="s">
        <v>102</v>
      </c>
      <c r="B127" s="19">
        <v>0</v>
      </c>
      <c r="C127" s="19">
        <v>40.46</v>
      </c>
      <c r="D127" s="45">
        <f t="shared" si="1"/>
        <v>0</v>
      </c>
    </row>
    <row r="128" spans="1:4" x14ac:dyDescent="0.25">
      <c r="A128" s="19" t="s">
        <v>103</v>
      </c>
      <c r="B128" s="19">
        <v>0</v>
      </c>
      <c r="C128" s="19">
        <v>55.84</v>
      </c>
      <c r="D128" s="45">
        <f t="shared" si="1"/>
        <v>0</v>
      </c>
    </row>
    <row r="129" spans="1:5" x14ac:dyDescent="0.25">
      <c r="A129" s="19" t="s">
        <v>104</v>
      </c>
      <c r="B129" s="19">
        <v>0</v>
      </c>
      <c r="C129" s="19">
        <v>34.79</v>
      </c>
      <c r="D129" s="45">
        <f t="shared" si="1"/>
        <v>0</v>
      </c>
    </row>
    <row r="130" spans="1:5" x14ac:dyDescent="0.25">
      <c r="A130" s="19" t="s">
        <v>147</v>
      </c>
      <c r="B130" s="19">
        <v>1</v>
      </c>
      <c r="C130" s="19">
        <v>35.630000000000003</v>
      </c>
      <c r="D130" s="45">
        <f t="shared" si="1"/>
        <v>35.630000000000003</v>
      </c>
    </row>
    <row r="131" spans="1:5" x14ac:dyDescent="0.25">
      <c r="A131" s="19" t="s">
        <v>105</v>
      </c>
      <c r="B131" s="19">
        <v>0</v>
      </c>
      <c r="C131" s="19">
        <v>90</v>
      </c>
      <c r="D131" s="45">
        <f t="shared" si="1"/>
        <v>0</v>
      </c>
    </row>
    <row r="132" spans="1:5" x14ac:dyDescent="0.25">
      <c r="A132" s="19" t="s">
        <v>148</v>
      </c>
      <c r="B132" s="19">
        <v>4.25</v>
      </c>
      <c r="C132" s="19">
        <v>31.34</v>
      </c>
      <c r="D132" s="45">
        <f t="shared" si="1"/>
        <v>133.19499999999999</v>
      </c>
    </row>
    <row r="133" spans="1:5" x14ac:dyDescent="0.25">
      <c r="A133" s="19" t="s">
        <v>106</v>
      </c>
      <c r="B133" s="19">
        <v>0.25</v>
      </c>
      <c r="C133" s="19">
        <v>35.630000000000003</v>
      </c>
      <c r="D133" s="45">
        <f t="shared" si="1"/>
        <v>8.9075000000000006</v>
      </c>
    </row>
    <row r="134" spans="1:5" x14ac:dyDescent="0.25">
      <c r="A134" s="19"/>
      <c r="B134" s="19"/>
      <c r="C134" s="19"/>
      <c r="D134" s="45"/>
    </row>
    <row r="135" spans="1:5" x14ac:dyDescent="0.25">
      <c r="A135" s="1"/>
      <c r="B135" s="1"/>
      <c r="C135" s="43"/>
      <c r="D135" s="46"/>
      <c r="E135" s="44"/>
    </row>
    <row r="136" spans="1:5" x14ac:dyDescent="0.25">
      <c r="A136" s="16" t="s">
        <v>107</v>
      </c>
      <c r="B136" s="17"/>
      <c r="C136" s="17"/>
      <c r="D136" s="45">
        <f t="shared" si="1"/>
        <v>0</v>
      </c>
    </row>
    <row r="137" spans="1:5" x14ac:dyDescent="0.25">
      <c r="A137" s="17" t="s">
        <v>108</v>
      </c>
      <c r="B137" s="17"/>
      <c r="C137" s="17">
        <v>110</v>
      </c>
      <c r="D137" s="45">
        <f t="shared" si="1"/>
        <v>0</v>
      </c>
    </row>
    <row r="138" spans="1:5" x14ac:dyDescent="0.25">
      <c r="A138" s="17" t="s">
        <v>149</v>
      </c>
      <c r="B138" s="17">
        <v>1</v>
      </c>
      <c r="C138" s="17">
        <v>60</v>
      </c>
      <c r="D138" s="45">
        <f t="shared" si="1"/>
        <v>60</v>
      </c>
    </row>
    <row r="139" spans="1:5" x14ac:dyDescent="0.25">
      <c r="A139" s="17" t="s">
        <v>109</v>
      </c>
      <c r="B139" s="17">
        <v>1</v>
      </c>
      <c r="C139" s="17">
        <v>47.34</v>
      </c>
      <c r="D139" s="45">
        <f t="shared" si="1"/>
        <v>47.34</v>
      </c>
    </row>
    <row r="140" spans="1:5" x14ac:dyDescent="0.25">
      <c r="A140" s="17" t="s">
        <v>110</v>
      </c>
      <c r="B140" s="17">
        <v>0.2</v>
      </c>
      <c r="C140" s="17">
        <v>110</v>
      </c>
      <c r="D140" s="45">
        <f t="shared" si="1"/>
        <v>22</v>
      </c>
    </row>
    <row r="141" spans="1:5" x14ac:dyDescent="0.25">
      <c r="A141" s="17" t="s">
        <v>150</v>
      </c>
      <c r="B141" s="17">
        <v>1</v>
      </c>
      <c r="C141" s="17">
        <v>67.64</v>
      </c>
      <c r="D141" s="45">
        <f t="shared" si="1"/>
        <v>67.64</v>
      </c>
    </row>
    <row r="142" spans="1:5" x14ac:dyDescent="0.25">
      <c r="A142" s="17" t="s">
        <v>111</v>
      </c>
      <c r="B142" s="17">
        <v>0</v>
      </c>
      <c r="C142" s="17">
        <v>150</v>
      </c>
      <c r="D142" s="45">
        <f t="shared" si="1"/>
        <v>0</v>
      </c>
    </row>
    <row r="143" spans="1:5" x14ac:dyDescent="0.25">
      <c r="A143" s="17" t="s">
        <v>151</v>
      </c>
      <c r="B143" s="17">
        <v>1</v>
      </c>
      <c r="C143" s="17">
        <v>36.75</v>
      </c>
      <c r="D143" s="45">
        <f t="shared" si="1"/>
        <v>36.75</v>
      </c>
    </row>
    <row r="144" spans="1:5" x14ac:dyDescent="0.25">
      <c r="A144" s="17" t="s">
        <v>112</v>
      </c>
      <c r="B144" s="17">
        <v>1</v>
      </c>
      <c r="C144" s="17">
        <v>51</v>
      </c>
      <c r="D144" s="45">
        <f t="shared" si="1"/>
        <v>51</v>
      </c>
    </row>
    <row r="145" spans="1:4" x14ac:dyDescent="0.25">
      <c r="A145" s="17" t="s">
        <v>113</v>
      </c>
      <c r="B145" s="17">
        <v>1.9</v>
      </c>
      <c r="C145" s="17">
        <v>89</v>
      </c>
      <c r="D145" s="45">
        <f t="shared" si="1"/>
        <v>169.1</v>
      </c>
    </row>
    <row r="146" spans="1:4" x14ac:dyDescent="0.25">
      <c r="A146" s="17" t="s">
        <v>114</v>
      </c>
      <c r="B146" s="17">
        <v>0</v>
      </c>
      <c r="C146" s="17">
        <v>95</v>
      </c>
      <c r="D146" s="45">
        <f t="shared" si="1"/>
        <v>0</v>
      </c>
    </row>
    <row r="147" spans="1:4" x14ac:dyDescent="0.25">
      <c r="A147" s="17" t="s">
        <v>153</v>
      </c>
      <c r="B147" s="17">
        <v>2</v>
      </c>
      <c r="C147" s="17">
        <v>130</v>
      </c>
      <c r="D147" s="45">
        <f t="shared" si="1"/>
        <v>260</v>
      </c>
    </row>
    <row r="148" spans="1:4" x14ac:dyDescent="0.25">
      <c r="A148" s="17" t="s">
        <v>115</v>
      </c>
      <c r="B148" s="17">
        <v>0</v>
      </c>
      <c r="C148" s="17">
        <v>125</v>
      </c>
      <c r="D148" s="45">
        <f t="shared" si="1"/>
        <v>0</v>
      </c>
    </row>
    <row r="149" spans="1:4" x14ac:dyDescent="0.25">
      <c r="A149" s="17" t="s">
        <v>116</v>
      </c>
      <c r="B149" s="17">
        <v>1</v>
      </c>
      <c r="C149" s="17">
        <v>43.2</v>
      </c>
      <c r="D149" s="45">
        <f t="shared" si="1"/>
        <v>43.2</v>
      </c>
    </row>
    <row r="150" spans="1:4" x14ac:dyDescent="0.25">
      <c r="A150" s="17" t="s">
        <v>117</v>
      </c>
      <c r="B150" s="17">
        <v>0.4</v>
      </c>
      <c r="C150" s="17">
        <v>96</v>
      </c>
      <c r="D150" s="45">
        <f t="shared" si="1"/>
        <v>38.400000000000006</v>
      </c>
    </row>
    <row r="151" spans="1:4" x14ac:dyDescent="0.25">
      <c r="A151" s="17" t="s">
        <v>118</v>
      </c>
      <c r="B151" s="17">
        <v>0</v>
      </c>
      <c r="C151" s="17">
        <v>140</v>
      </c>
      <c r="D151" s="45">
        <f t="shared" ref="D151:D168" si="3">SUM(B151*C151)</f>
        <v>0</v>
      </c>
    </row>
    <row r="152" spans="1:4" x14ac:dyDescent="0.25">
      <c r="A152" s="17" t="s">
        <v>119</v>
      </c>
      <c r="B152" s="17">
        <v>2.2999999999999998</v>
      </c>
      <c r="C152" s="17">
        <v>100</v>
      </c>
      <c r="D152" s="45">
        <f t="shared" si="3"/>
        <v>229.99999999999997</v>
      </c>
    </row>
    <row r="153" spans="1:4" x14ac:dyDescent="0.25">
      <c r="A153" s="17" t="s">
        <v>120</v>
      </c>
      <c r="B153" s="17">
        <v>0.2</v>
      </c>
      <c r="C153" s="17">
        <v>79</v>
      </c>
      <c r="D153" s="45">
        <f t="shared" si="3"/>
        <v>15.8</v>
      </c>
    </row>
    <row r="154" spans="1:4" x14ac:dyDescent="0.25">
      <c r="A154" s="17" t="s">
        <v>152</v>
      </c>
      <c r="B154" s="17">
        <v>0.5</v>
      </c>
      <c r="C154" s="17">
        <v>56.65</v>
      </c>
      <c r="D154" s="45">
        <f t="shared" si="3"/>
        <v>28.324999999999999</v>
      </c>
    </row>
    <row r="155" spans="1:4" x14ac:dyDescent="0.25">
      <c r="A155" s="1"/>
      <c r="B155" s="1"/>
      <c r="C155" s="1"/>
      <c r="D155" s="45">
        <f t="shared" si="3"/>
        <v>0</v>
      </c>
    </row>
    <row r="156" spans="1:4" x14ac:dyDescent="0.25">
      <c r="A156" s="20" t="s">
        <v>121</v>
      </c>
      <c r="B156" s="21"/>
      <c r="C156" s="21"/>
      <c r="D156" s="45">
        <f t="shared" si="3"/>
        <v>0</v>
      </c>
    </row>
    <row r="157" spans="1:4" x14ac:dyDescent="0.25">
      <c r="A157" s="21" t="s">
        <v>122</v>
      </c>
      <c r="B157" s="21">
        <v>1.6</v>
      </c>
      <c r="C157" s="21">
        <v>49.64</v>
      </c>
      <c r="D157" s="45">
        <f t="shared" si="3"/>
        <v>79.424000000000007</v>
      </c>
    </row>
    <row r="158" spans="1:4" x14ac:dyDescent="0.25">
      <c r="A158" s="21" t="s">
        <v>123</v>
      </c>
      <c r="B158" s="21">
        <v>2.2000000000000002</v>
      </c>
      <c r="C158" s="21">
        <v>49.64</v>
      </c>
      <c r="D158" s="45">
        <f t="shared" si="3"/>
        <v>109.20800000000001</v>
      </c>
    </row>
    <row r="159" spans="1:4" x14ac:dyDescent="0.25">
      <c r="A159" s="21" t="s">
        <v>124</v>
      </c>
      <c r="B159" s="21">
        <v>2.5</v>
      </c>
      <c r="C159" s="21">
        <v>49.64</v>
      </c>
      <c r="D159" s="45">
        <f t="shared" si="3"/>
        <v>124.1</v>
      </c>
    </row>
    <row r="160" spans="1:4" x14ac:dyDescent="0.25">
      <c r="A160" s="21" t="s">
        <v>125</v>
      </c>
      <c r="B160" s="21">
        <v>2.1</v>
      </c>
      <c r="C160" s="21">
        <v>49.64</v>
      </c>
      <c r="D160" s="45">
        <f t="shared" si="3"/>
        <v>104.244</v>
      </c>
    </row>
    <row r="161" spans="1:5" x14ac:dyDescent="0.25">
      <c r="A161" s="1"/>
      <c r="B161" s="1"/>
      <c r="C161" s="43"/>
      <c r="D161" s="46"/>
      <c r="E161" s="44"/>
    </row>
    <row r="162" spans="1:5" x14ac:dyDescent="0.25">
      <c r="A162" s="22" t="s">
        <v>126</v>
      </c>
      <c r="B162" s="23"/>
      <c r="C162" s="23"/>
      <c r="D162" s="45">
        <f t="shared" si="3"/>
        <v>0</v>
      </c>
    </row>
    <row r="163" spans="1:5" x14ac:dyDescent="0.25">
      <c r="A163" s="23" t="s">
        <v>127</v>
      </c>
      <c r="B163" s="23">
        <v>0</v>
      </c>
      <c r="C163" s="23">
        <v>0.4</v>
      </c>
      <c r="D163" s="45">
        <f t="shared" si="3"/>
        <v>0</v>
      </c>
    </row>
    <row r="164" spans="1:5" x14ac:dyDescent="0.25">
      <c r="A164" s="23" t="s">
        <v>128</v>
      </c>
      <c r="B164" s="23">
        <v>85</v>
      </c>
      <c r="C164" s="23">
        <v>0.4</v>
      </c>
      <c r="D164" s="45">
        <f t="shared" si="3"/>
        <v>34</v>
      </c>
    </row>
    <row r="165" spans="1:5" x14ac:dyDescent="0.25">
      <c r="A165" s="23" t="s">
        <v>129</v>
      </c>
      <c r="B165" s="23">
        <v>21</v>
      </c>
      <c r="C165" s="23">
        <v>0.45</v>
      </c>
      <c r="D165" s="45">
        <f t="shared" si="3"/>
        <v>9.4500000000000011</v>
      </c>
    </row>
    <row r="166" spans="1:5" x14ac:dyDescent="0.25">
      <c r="A166" s="23" t="s">
        <v>130</v>
      </c>
      <c r="B166" s="23">
        <v>19</v>
      </c>
      <c r="C166" s="23">
        <v>0.45</v>
      </c>
      <c r="D166" s="45">
        <f t="shared" si="3"/>
        <v>8.5500000000000007</v>
      </c>
    </row>
    <row r="167" spans="1:5" x14ac:dyDescent="0.25">
      <c r="A167" s="23" t="s">
        <v>131</v>
      </c>
      <c r="B167" s="23">
        <v>16</v>
      </c>
      <c r="C167" s="23">
        <v>0.45</v>
      </c>
      <c r="D167" s="45">
        <f t="shared" si="3"/>
        <v>7.2</v>
      </c>
    </row>
    <row r="168" spans="1:5" x14ac:dyDescent="0.25">
      <c r="A168" s="23" t="s">
        <v>132</v>
      </c>
      <c r="B168" s="23">
        <v>21</v>
      </c>
      <c r="C168" s="23">
        <v>1.08</v>
      </c>
      <c r="D168" s="45">
        <f t="shared" si="3"/>
        <v>22.68</v>
      </c>
    </row>
    <row r="169" spans="1:5" x14ac:dyDescent="0.25">
      <c r="A169" s="23"/>
      <c r="B169" s="23"/>
      <c r="C169" s="23"/>
      <c r="D169" s="56"/>
    </row>
    <row r="170" spans="1:5" x14ac:dyDescent="0.25">
      <c r="A170" t="s">
        <v>133</v>
      </c>
      <c r="D170" s="57">
        <f>SUM(D3:D168)</f>
        <v>4881.9049999999988</v>
      </c>
    </row>
  </sheetData>
  <pageMargins left="0.25" right="0.25" top="0.75" bottom="0.75" header="0.3" footer="0.3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Russell</dc:creator>
  <cp:lastModifiedBy>Jay Russell</cp:lastModifiedBy>
  <cp:lastPrinted>2025-12-01T10:33:04Z</cp:lastPrinted>
  <dcterms:created xsi:type="dcterms:W3CDTF">2025-12-01T10:25:12Z</dcterms:created>
  <dcterms:modified xsi:type="dcterms:W3CDTF">2025-12-01T13:38:58Z</dcterms:modified>
</cp:coreProperties>
</file>