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ewing\LuneBrew\Stock Take\"/>
    </mc:Choice>
  </mc:AlternateContent>
  <xr:revisionPtr revIDLastSave="0" documentId="8_{06EEA0B1-6D23-4C68-9211-90998CB0C962}" xr6:coauthVersionLast="47" xr6:coauthVersionMax="47" xr10:uidLastSave="{00000000-0000-0000-0000-000000000000}"/>
  <bookViews>
    <workbookView xWindow="-110" yWindow="-110" windowWidth="19420" windowHeight="10420" xr2:uid="{60811011-A758-44D5-AD08-DD0FB20C0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" i="1" l="1"/>
  <c r="D80" i="1"/>
  <c r="D63" i="1"/>
  <c r="D62" i="1"/>
  <c r="D61" i="1"/>
  <c r="D181" i="1"/>
  <c r="D179" i="1"/>
  <c r="D180" i="1"/>
  <c r="D152" i="1"/>
  <c r="D151" i="1"/>
  <c r="D242" i="1" l="1"/>
  <c r="D204" i="1"/>
  <c r="D166" i="1"/>
  <c r="D221" i="1" l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20" i="1"/>
  <c r="D178" i="1"/>
  <c r="D203" i="1"/>
  <c r="D141" i="1"/>
  <c r="D60" i="1"/>
  <c r="D207" i="1"/>
  <c r="D194" i="1"/>
  <c r="D137" i="1"/>
  <c r="D138" i="1"/>
  <c r="D139" i="1"/>
  <c r="D140" i="1"/>
  <c r="D129" i="1"/>
  <c r="D126" i="1"/>
  <c r="D127" i="1"/>
  <c r="D128" i="1"/>
  <c r="D248" i="1" l="1"/>
  <c r="D206" i="1"/>
  <c r="D130" i="1"/>
  <c r="D177" i="1" l="1"/>
  <c r="D176" i="1"/>
  <c r="D73" i="1"/>
  <c r="D41" i="1"/>
  <c r="D29" i="1"/>
  <c r="D214" i="1"/>
  <c r="D213" i="1"/>
  <c r="D202" i="1"/>
  <c r="D196" i="1"/>
  <c r="D175" i="1"/>
  <c r="D134" i="1"/>
  <c r="D216" i="1" l="1"/>
  <c r="D28" i="1"/>
  <c r="D27" i="1"/>
  <c r="D201" i="1"/>
  <c r="D200" i="1"/>
  <c r="D174" i="1"/>
  <c r="D173" i="1"/>
  <c r="D172" i="1"/>
  <c r="D171" i="1"/>
  <c r="D170" i="1"/>
  <c r="D199" i="1" l="1"/>
  <c r="D198" i="1"/>
  <c r="D197" i="1" l="1"/>
  <c r="D195" i="1"/>
  <c r="D136" i="1"/>
  <c r="D59" i="1"/>
  <c r="D36" i="1"/>
  <c r="D115" i="1"/>
  <c r="B132" i="1" l="1"/>
  <c r="D132" i="1" s="1"/>
  <c r="D191" i="1"/>
  <c r="D192" i="1"/>
  <c r="D193" i="1"/>
  <c r="D168" i="1"/>
  <c r="D72" i="1"/>
  <c r="D71" i="1"/>
  <c r="D25" i="1"/>
  <c r="D26" i="1"/>
  <c r="D189" i="1"/>
  <c r="D190" i="1"/>
  <c r="D135" i="1" l="1"/>
  <c r="D102" i="1"/>
  <c r="D133" i="1"/>
  <c r="D131" i="1"/>
  <c r="D188" i="1"/>
  <c r="D125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0" i="1"/>
  <c r="D31" i="1"/>
  <c r="D32" i="1"/>
  <c r="D33" i="1"/>
  <c r="D34" i="1"/>
  <c r="D35" i="1"/>
  <c r="D37" i="1"/>
  <c r="D38" i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64" i="1"/>
  <c r="D65" i="1"/>
  <c r="D66" i="1"/>
  <c r="D67" i="1"/>
  <c r="D68" i="1"/>
  <c r="D69" i="1"/>
  <c r="D70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3" i="1"/>
  <c r="D104" i="1"/>
  <c r="D106" i="1"/>
  <c r="D107" i="1"/>
  <c r="D108" i="1"/>
  <c r="D109" i="1"/>
  <c r="D110" i="1"/>
  <c r="D111" i="1"/>
  <c r="D112" i="1"/>
  <c r="D113" i="1"/>
  <c r="D114" i="1"/>
  <c r="D118" i="1"/>
  <c r="D145" i="1"/>
  <c r="D146" i="1"/>
  <c r="D147" i="1"/>
  <c r="D148" i="1"/>
  <c r="D149" i="1"/>
  <c r="D150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7" i="1"/>
  <c r="D169" i="1"/>
  <c r="D183" i="1"/>
  <c r="D184" i="1"/>
  <c r="D185" i="1"/>
  <c r="D186" i="1"/>
  <c r="D187" i="1"/>
  <c r="D8" i="1"/>
  <c r="D209" i="1" l="1"/>
  <c r="D250" i="1"/>
  <c r="D143" i="1"/>
</calcChain>
</file>

<file path=xl/sharedStrings.xml><?xml version="1.0" encoding="utf-8"?>
<sst xmlns="http://schemas.openxmlformats.org/spreadsheetml/2006/main" count="206" uniqueCount="199">
  <si>
    <t>Hops</t>
  </si>
  <si>
    <t>Malt</t>
  </si>
  <si>
    <t>Salts</t>
  </si>
  <si>
    <t>Finings</t>
  </si>
  <si>
    <t>Shives &amp; keystones</t>
  </si>
  <si>
    <t>Detergents</t>
  </si>
  <si>
    <t>Brewing aids</t>
  </si>
  <si>
    <t>Empty Ecasks &amp; kegs</t>
  </si>
  <si>
    <t>Warehouse stock</t>
  </si>
  <si>
    <t xml:space="preserve">9g </t>
  </si>
  <si>
    <t>Keg</t>
  </si>
  <si>
    <t>Fuggle FP</t>
  </si>
  <si>
    <t>Citra FP</t>
  </si>
  <si>
    <t>Brewers Gold FP</t>
  </si>
  <si>
    <t>Bobek FP</t>
  </si>
  <si>
    <t>Goldings FP</t>
  </si>
  <si>
    <t>Admiral FP</t>
  </si>
  <si>
    <t>Northdown FP</t>
  </si>
  <si>
    <t>Target FP</t>
  </si>
  <si>
    <t>Cascade FP</t>
  </si>
  <si>
    <t>Simcoe FP</t>
  </si>
  <si>
    <t>Mosaic FP</t>
  </si>
  <si>
    <t>Nelson Sauvin FP</t>
  </si>
  <si>
    <t>Amarillo FP</t>
  </si>
  <si>
    <t>Centennial FP</t>
  </si>
  <si>
    <t>Opus FP</t>
  </si>
  <si>
    <t>Mystic FP</t>
  </si>
  <si>
    <t>Amarillo BBC Pellets</t>
  </si>
  <si>
    <t>Citra BBC Pellets</t>
  </si>
  <si>
    <t>Centennial BBC Pellets</t>
  </si>
  <si>
    <t>Mosaic BBC Pellets</t>
  </si>
  <si>
    <t>Nelson Sauvin T90</t>
  </si>
  <si>
    <t>Extra Pale</t>
  </si>
  <si>
    <t>Torrified Wheat</t>
  </si>
  <si>
    <t>Amber malt</t>
  </si>
  <si>
    <t>Lager malt</t>
  </si>
  <si>
    <t>Black Malt</t>
  </si>
  <si>
    <t>Crystal Light</t>
  </si>
  <si>
    <t>Dextrin malt</t>
  </si>
  <si>
    <t>Caramalt</t>
  </si>
  <si>
    <t>Crystal medium</t>
  </si>
  <si>
    <t>Crystal T50</t>
  </si>
  <si>
    <t>Jumbo oats</t>
  </si>
  <si>
    <t>Flaked wheat</t>
  </si>
  <si>
    <t>Extra Dark Crystal</t>
  </si>
  <si>
    <t>GNO</t>
  </si>
  <si>
    <t>Chocolate</t>
  </si>
  <si>
    <t>Roast Barley</t>
  </si>
  <si>
    <t>Protabs</t>
  </si>
  <si>
    <t>Gypsum</t>
  </si>
  <si>
    <t>Flake</t>
  </si>
  <si>
    <t>Finings adjunct</t>
  </si>
  <si>
    <t>Shives</t>
  </si>
  <si>
    <t>Keystones</t>
  </si>
  <si>
    <t>Caustak 30</t>
  </si>
  <si>
    <t>Chlorsan</t>
  </si>
  <si>
    <t>Perbac</t>
  </si>
  <si>
    <t>Nipac B</t>
  </si>
  <si>
    <t>Antifoam</t>
  </si>
  <si>
    <t>Ascorbic acid</t>
  </si>
  <si>
    <t>Deptil</t>
  </si>
  <si>
    <t>AMS</t>
  </si>
  <si>
    <t>Lactic acid</t>
  </si>
  <si>
    <t>Poly Keg</t>
  </si>
  <si>
    <t>Lune Valley Gold</t>
  </si>
  <si>
    <t>Session IPA</t>
  </si>
  <si>
    <t>Session IPA – Polykeg</t>
  </si>
  <si>
    <t>E-Keg</t>
  </si>
  <si>
    <t xml:space="preserve">Stout – Keykeg </t>
  </si>
  <si>
    <t>E-Cask</t>
  </si>
  <si>
    <t>Pale</t>
  </si>
  <si>
    <t>Bitter</t>
  </si>
  <si>
    <t>Stout</t>
  </si>
  <si>
    <t>Lune Valley Gold Ecask</t>
  </si>
  <si>
    <t>Session IPA Ecask</t>
  </si>
  <si>
    <t>Pineapple IPA Ecask</t>
  </si>
  <si>
    <t>Pale Ecask</t>
  </si>
  <si>
    <t>Bitter Ecask</t>
  </si>
  <si>
    <t>Summer sessions Ecask</t>
  </si>
  <si>
    <t>Caked Ecask</t>
  </si>
  <si>
    <t>Coffee choc Ecask</t>
  </si>
  <si>
    <t>Stock take</t>
  </si>
  <si>
    <t>Oat Malt</t>
  </si>
  <si>
    <t>Wheat malt</t>
  </si>
  <si>
    <t>Super F</t>
  </si>
  <si>
    <t>Magnum FP</t>
  </si>
  <si>
    <t>Salt</t>
  </si>
  <si>
    <t>Dextrose suger</t>
  </si>
  <si>
    <t>Chlorafoam pluss</t>
  </si>
  <si>
    <t>Yeast</t>
  </si>
  <si>
    <t>Bond yeast</t>
  </si>
  <si>
    <t>Apres Ski</t>
  </si>
  <si>
    <t>Stout Ecask</t>
  </si>
  <si>
    <t xml:space="preserve">Caked </t>
  </si>
  <si>
    <t>Strawberry Blonde Ecask</t>
  </si>
  <si>
    <t>Cost/unit/kg</t>
  </si>
  <si>
    <t>Total</t>
  </si>
  <si>
    <t>in stock unit/kg</t>
  </si>
  <si>
    <t>Ingredients</t>
  </si>
  <si>
    <t xml:space="preserve">Total ingredients cost </t>
  </si>
  <si>
    <t>In Tank Stock</t>
  </si>
  <si>
    <t>Lune Lager</t>
  </si>
  <si>
    <t>Total In Tank Cost</t>
  </si>
  <si>
    <t>utility cost</t>
  </si>
  <si>
    <t>Each Brew</t>
  </si>
  <si>
    <t>Peach Pale - 50L</t>
  </si>
  <si>
    <t>Overall Cost in stock</t>
  </si>
  <si>
    <t>Brewers Clarex</t>
  </si>
  <si>
    <t>Olicana FP</t>
  </si>
  <si>
    <t>Godiva</t>
  </si>
  <si>
    <t>Chalk</t>
  </si>
  <si>
    <t>Epsum salt</t>
  </si>
  <si>
    <t>E-Keg 50L</t>
  </si>
  <si>
    <t>Blonde</t>
  </si>
  <si>
    <t>Peach Pale - 30L</t>
  </si>
  <si>
    <t>Sleeping elephants - 30L</t>
  </si>
  <si>
    <t>Lager 30L</t>
  </si>
  <si>
    <t>Lager 50L</t>
  </si>
  <si>
    <t>Sea Salt &amp; line 50L</t>
  </si>
  <si>
    <t>west coast</t>
  </si>
  <si>
    <t>Pale 4800L</t>
  </si>
  <si>
    <t>Blonde ecask</t>
  </si>
  <si>
    <t>E-Keg 30L</t>
  </si>
  <si>
    <t>Citra Incognito</t>
  </si>
  <si>
    <t>Flaked Maize</t>
  </si>
  <si>
    <t>Dew</t>
  </si>
  <si>
    <t>Pale 30L Polykeg</t>
  </si>
  <si>
    <t>Broken Footbridge 30L Polykeg</t>
  </si>
  <si>
    <t>DROP</t>
  </si>
  <si>
    <t>DEW 30L Ekeg</t>
  </si>
  <si>
    <t>DEW 30L  Polykeg</t>
  </si>
  <si>
    <t>Mosaic Madness E cask</t>
  </si>
  <si>
    <t>Citra Sonic</t>
  </si>
  <si>
    <t>Citra Sonic Ecask</t>
  </si>
  <si>
    <t>Amarillo Armageddon</t>
  </si>
  <si>
    <t>Amarillo Armageddon Ecask</t>
  </si>
  <si>
    <t>DROP 30L Polykeg</t>
  </si>
  <si>
    <t>DROP 30L Ekeg</t>
  </si>
  <si>
    <t>Emperor</t>
  </si>
  <si>
    <t>Centennial Summer</t>
  </si>
  <si>
    <t>Flow - Sea salt + Lime</t>
  </si>
  <si>
    <t>Blonde - Origin</t>
  </si>
  <si>
    <t>Caravan of Love</t>
  </si>
  <si>
    <t>Pale 30L Ekeg</t>
  </si>
  <si>
    <t>Total Cask &amp; Keg stock</t>
  </si>
  <si>
    <t>Cans</t>
  </si>
  <si>
    <t>Pale Ale x 12 Pack</t>
  </si>
  <si>
    <t>Caravan Of Love x 12 Pack</t>
  </si>
  <si>
    <t>Total Can Stock</t>
  </si>
  <si>
    <t>Sterling</t>
  </si>
  <si>
    <t>Golden Promise</t>
  </si>
  <si>
    <t xml:space="preserve">Lactose </t>
  </si>
  <si>
    <t>Centennial Summer Ecask</t>
  </si>
  <si>
    <t>Session IPA 4800L</t>
  </si>
  <si>
    <t xml:space="preserve">Elliot Warehouse stock </t>
  </si>
  <si>
    <t>Caravan of love</t>
  </si>
  <si>
    <t>Elephants</t>
  </si>
  <si>
    <t>Sea Salt &amp; line 30L</t>
  </si>
  <si>
    <t>Vienna</t>
  </si>
  <si>
    <t>Bine &amp; Dandy</t>
  </si>
  <si>
    <t>Swoop</t>
  </si>
  <si>
    <t>Other products in stock</t>
  </si>
  <si>
    <t>Bird of Pray 20L</t>
  </si>
  <si>
    <t>Juicy Lucy 20L</t>
  </si>
  <si>
    <t>Dubbel Bottle</t>
  </si>
  <si>
    <t>Dubbel 20L</t>
  </si>
  <si>
    <t>Blonde Bottle</t>
  </si>
  <si>
    <t>Tripel Bottle</t>
  </si>
  <si>
    <t>Quadrupel Bottle</t>
  </si>
  <si>
    <t>Blonde 20L</t>
  </si>
  <si>
    <t>Fruitage 30L</t>
  </si>
  <si>
    <t>Fruitage Bottle</t>
  </si>
  <si>
    <t>Fruitage Can</t>
  </si>
  <si>
    <t>Baveria 50L</t>
  </si>
  <si>
    <t>Grand cru</t>
  </si>
  <si>
    <t>Classic</t>
  </si>
  <si>
    <t>Wrath Can</t>
  </si>
  <si>
    <t>Pilot Can</t>
  </si>
  <si>
    <t>Shimmy Can</t>
  </si>
  <si>
    <t>Sonic Tatan 20L BIB</t>
  </si>
  <si>
    <t>Glow 20L BIB</t>
  </si>
  <si>
    <t>Mothership 20L BIB</t>
  </si>
  <si>
    <t>Total Other Products in stock</t>
  </si>
  <si>
    <t>Saturated</t>
  </si>
  <si>
    <t xml:space="preserve">Coffee choc </t>
  </si>
  <si>
    <t>Bine &amp; Dandy 30L E-Keg</t>
  </si>
  <si>
    <t>Swoop 30L E-Keg</t>
  </si>
  <si>
    <t>Mess with the honk Can</t>
  </si>
  <si>
    <t xml:space="preserve">Origin </t>
  </si>
  <si>
    <t>Origin E-Cask</t>
  </si>
  <si>
    <t>Mild</t>
  </si>
  <si>
    <t>Mild E-Cask</t>
  </si>
  <si>
    <t>Bird Man - Beerhouse Bitter E-Cask</t>
  </si>
  <si>
    <t>Tettnang</t>
  </si>
  <si>
    <t>Chit malt</t>
  </si>
  <si>
    <t>Munich malt</t>
  </si>
  <si>
    <t>CaraGlow</t>
  </si>
  <si>
    <t>PGA</t>
  </si>
  <si>
    <t>Proforma paid this month but not arrived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</si>
</sst>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3" fillId="2" borderId="0" xfId="0" applyNumberFormat="1" applyFont="1" applyFill="1"/>
    <xf numFmtId="164" fontId="3" fillId="3" borderId="0" xfId="0" applyNumberFormat="1" applyFont="1" applyFill="1"/>
    <xf numFmtId="0" fontId="1" fillId="4" borderId="0" xfId="0" applyFont="1" applyFill="1" applyAlignment="1">
      <alignment vertical="center"/>
    </xf>
    <xf numFmtId="0" fontId="0" fillId="4" borderId="0" xfId="0" applyFill="1"/>
    <xf numFmtId="164" fontId="0" fillId="4" borderId="0" xfId="0" applyNumberFormat="1" applyFill="1"/>
    <xf numFmtId="164" fontId="3" fillId="0" borderId="0" xfId="0" applyNumberFormat="1" applyFont="1"/>
    <xf numFmtId="0" fontId="1" fillId="5" borderId="0" xfId="0" applyFont="1" applyFill="1" applyAlignment="1">
      <alignment vertical="center"/>
    </xf>
    <xf numFmtId="0" fontId="0" fillId="5" borderId="0" xfId="0" applyFill="1"/>
    <xf numFmtId="164" fontId="0" fillId="5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47E7-DC68-4629-A80F-1927CE357967}">
  <dimension ref="A2:D250"/>
  <sheetViews>
    <sheetView tabSelected="1" workbookViewId="0">
      <selection activeCell="G119" sqref="G119"/>
    </sheetView>
  </sheetViews>
  <sheetFormatPr defaultRowHeight="14.5" x14ac:dyDescent="0.35"/>
  <cols>
    <col min="1" max="1" width="34.54296875" bestFit="1" customWidth="1"/>
    <col min="2" max="2" width="13.08984375" bestFit="1" customWidth="1"/>
    <col min="3" max="3" width="10.81640625" style="4" bestFit="1" customWidth="1"/>
    <col min="4" max="4" width="10.90625" style="4" bestFit="1" customWidth="1"/>
  </cols>
  <sheetData>
    <row r="2" spans="1:4" ht="16" x14ac:dyDescent="0.35">
      <c r="A2" s="1" t="s">
        <v>81</v>
      </c>
      <c r="B2" s="3">
        <v>46082</v>
      </c>
    </row>
    <row r="3" spans="1:4" ht="16" x14ac:dyDescent="0.35">
      <c r="A3" s="1"/>
      <c r="B3" s="3"/>
    </row>
    <row r="4" spans="1:4" ht="16" x14ac:dyDescent="0.35">
      <c r="A4" s="1" t="s">
        <v>98</v>
      </c>
    </row>
    <row r="5" spans="1:4" ht="16" x14ac:dyDescent="0.35">
      <c r="A5" s="1"/>
    </row>
    <row r="6" spans="1:4" ht="16" x14ac:dyDescent="0.35">
      <c r="A6" s="1" t="s">
        <v>0</v>
      </c>
    </row>
    <row r="7" spans="1:4" ht="16" x14ac:dyDescent="0.35">
      <c r="A7" s="1"/>
      <c r="B7" t="s">
        <v>97</v>
      </c>
      <c r="C7" s="4" t="s">
        <v>95</v>
      </c>
      <c r="D7" s="4" t="s">
        <v>96</v>
      </c>
    </row>
    <row r="8" spans="1:4" ht="16" x14ac:dyDescent="0.35">
      <c r="A8" s="1" t="s">
        <v>11</v>
      </c>
      <c r="B8">
        <v>0</v>
      </c>
      <c r="C8" s="4">
        <v>14.56</v>
      </c>
      <c r="D8" s="4">
        <f>B8*C8</f>
        <v>0</v>
      </c>
    </row>
    <row r="9" spans="1:4" ht="16" x14ac:dyDescent="0.35">
      <c r="A9" s="1" t="s">
        <v>12</v>
      </c>
      <c r="B9">
        <v>5.84</v>
      </c>
      <c r="C9" s="4">
        <v>27.31</v>
      </c>
      <c r="D9" s="4">
        <f t="shared" ref="D9:D88" si="0">B9*C9</f>
        <v>159.49039999999999</v>
      </c>
    </row>
    <row r="10" spans="1:4" ht="16" x14ac:dyDescent="0.35">
      <c r="A10" s="1" t="s">
        <v>13</v>
      </c>
      <c r="B10">
        <v>0</v>
      </c>
      <c r="C10" s="4">
        <v>11.76</v>
      </c>
      <c r="D10" s="4">
        <f t="shared" si="0"/>
        <v>0</v>
      </c>
    </row>
    <row r="11" spans="1:4" ht="16" x14ac:dyDescent="0.35">
      <c r="A11" s="1" t="s">
        <v>14</v>
      </c>
      <c r="B11">
        <v>22.5</v>
      </c>
      <c r="C11" s="4">
        <v>9.35</v>
      </c>
      <c r="D11" s="4">
        <f t="shared" si="0"/>
        <v>210.375</v>
      </c>
    </row>
    <row r="12" spans="1:4" ht="16" x14ac:dyDescent="0.35">
      <c r="A12" s="1" t="s">
        <v>15</v>
      </c>
      <c r="B12">
        <v>2.5</v>
      </c>
      <c r="C12" s="4">
        <v>14.96</v>
      </c>
      <c r="D12" s="4">
        <f t="shared" si="0"/>
        <v>37.400000000000006</v>
      </c>
    </row>
    <row r="13" spans="1:4" ht="16" x14ac:dyDescent="0.35">
      <c r="A13" s="1" t="s">
        <v>16</v>
      </c>
      <c r="B13">
        <v>2.5</v>
      </c>
      <c r="C13" s="4">
        <v>15.31</v>
      </c>
      <c r="D13" s="4">
        <f t="shared" si="0"/>
        <v>38.274999999999999</v>
      </c>
    </row>
    <row r="14" spans="1:4" ht="16" x14ac:dyDescent="0.35">
      <c r="A14" s="1" t="s">
        <v>17</v>
      </c>
      <c r="B14">
        <v>12.5</v>
      </c>
      <c r="C14" s="4">
        <v>12.11</v>
      </c>
      <c r="D14" s="4">
        <f t="shared" si="0"/>
        <v>151.375</v>
      </c>
    </row>
    <row r="15" spans="1:4" ht="16" x14ac:dyDescent="0.35">
      <c r="A15" s="1" t="s">
        <v>18</v>
      </c>
      <c r="B15">
        <v>6.9</v>
      </c>
      <c r="C15" s="4">
        <v>12.96</v>
      </c>
      <c r="D15" s="4">
        <f t="shared" si="0"/>
        <v>89.424000000000007</v>
      </c>
    </row>
    <row r="16" spans="1:4" ht="16" x14ac:dyDescent="0.35">
      <c r="A16" s="1" t="s">
        <v>19</v>
      </c>
      <c r="B16">
        <v>5</v>
      </c>
      <c r="C16" s="4">
        <v>18.97</v>
      </c>
      <c r="D16" s="4">
        <f t="shared" si="0"/>
        <v>94.85</v>
      </c>
    </row>
    <row r="17" spans="1:4" ht="16" x14ac:dyDescent="0.35">
      <c r="A17" s="1" t="s">
        <v>20</v>
      </c>
      <c r="B17">
        <v>5</v>
      </c>
      <c r="C17" s="4">
        <v>32.42</v>
      </c>
      <c r="D17" s="4">
        <f t="shared" si="0"/>
        <v>162.10000000000002</v>
      </c>
    </row>
    <row r="18" spans="1:4" ht="16" x14ac:dyDescent="0.35">
      <c r="A18" s="1" t="s">
        <v>21</v>
      </c>
      <c r="B18">
        <v>0.84</v>
      </c>
      <c r="C18" s="4">
        <v>26.41</v>
      </c>
      <c r="D18" s="4">
        <f t="shared" si="0"/>
        <v>22.1844</v>
      </c>
    </row>
    <row r="19" spans="1:4" ht="16" x14ac:dyDescent="0.35">
      <c r="A19" s="1" t="s">
        <v>22</v>
      </c>
      <c r="B19">
        <v>0</v>
      </c>
      <c r="C19" s="4">
        <v>25.18</v>
      </c>
      <c r="D19" s="4">
        <f t="shared" si="0"/>
        <v>0</v>
      </c>
    </row>
    <row r="20" spans="1:4" ht="16" x14ac:dyDescent="0.35">
      <c r="A20" s="1" t="s">
        <v>23</v>
      </c>
      <c r="B20">
        <v>2.5</v>
      </c>
      <c r="C20" s="4">
        <v>15.63</v>
      </c>
      <c r="D20" s="4">
        <f t="shared" si="0"/>
        <v>39.075000000000003</v>
      </c>
    </row>
    <row r="21" spans="1:4" ht="16" x14ac:dyDescent="0.35">
      <c r="A21" s="1" t="s">
        <v>24</v>
      </c>
      <c r="B21">
        <v>3.34</v>
      </c>
      <c r="C21" s="4">
        <v>19.22</v>
      </c>
      <c r="D21" s="4">
        <f t="shared" si="0"/>
        <v>64.194799999999987</v>
      </c>
    </row>
    <row r="22" spans="1:4" ht="16" x14ac:dyDescent="0.35">
      <c r="A22" s="1" t="s">
        <v>25</v>
      </c>
      <c r="B22">
        <v>0</v>
      </c>
      <c r="C22" s="4">
        <v>10.99</v>
      </c>
      <c r="D22" s="4">
        <f t="shared" si="0"/>
        <v>0</v>
      </c>
    </row>
    <row r="23" spans="1:4" ht="16" x14ac:dyDescent="0.35">
      <c r="A23" s="1" t="s">
        <v>26</v>
      </c>
      <c r="B23">
        <v>0</v>
      </c>
      <c r="C23" s="4">
        <v>19.52</v>
      </c>
      <c r="D23" s="4">
        <f t="shared" si="0"/>
        <v>0</v>
      </c>
    </row>
    <row r="24" spans="1:4" ht="16" x14ac:dyDescent="0.35">
      <c r="A24" s="1" t="s">
        <v>85</v>
      </c>
      <c r="B24">
        <v>0</v>
      </c>
      <c r="C24" s="4">
        <v>12.96</v>
      </c>
      <c r="D24" s="4">
        <f t="shared" si="0"/>
        <v>0</v>
      </c>
    </row>
    <row r="25" spans="1:4" ht="16" x14ac:dyDescent="0.35">
      <c r="A25" s="1" t="s">
        <v>108</v>
      </c>
      <c r="B25">
        <v>1.25</v>
      </c>
      <c r="C25" s="4">
        <v>16.7</v>
      </c>
      <c r="D25" s="4">
        <f t="shared" si="0"/>
        <v>20.875</v>
      </c>
    </row>
    <row r="26" spans="1:4" ht="16" x14ac:dyDescent="0.35">
      <c r="A26" s="1" t="s">
        <v>109</v>
      </c>
      <c r="B26">
        <v>2.5</v>
      </c>
      <c r="C26" s="4">
        <v>18.66</v>
      </c>
      <c r="D26" s="4">
        <f t="shared" si="0"/>
        <v>46.65</v>
      </c>
    </row>
    <row r="27" spans="1:4" ht="16" x14ac:dyDescent="0.35">
      <c r="A27" s="1" t="s">
        <v>193</v>
      </c>
      <c r="B27">
        <v>7.5</v>
      </c>
      <c r="C27" s="4">
        <v>16</v>
      </c>
      <c r="D27" s="4">
        <f t="shared" si="0"/>
        <v>120</v>
      </c>
    </row>
    <row r="28" spans="1:4" ht="16" x14ac:dyDescent="0.35">
      <c r="A28" s="1" t="s">
        <v>138</v>
      </c>
      <c r="B28">
        <v>2.5</v>
      </c>
      <c r="C28" s="4">
        <v>18.11</v>
      </c>
      <c r="D28" s="4">
        <f t="shared" si="0"/>
        <v>45.274999999999999</v>
      </c>
    </row>
    <row r="29" spans="1:4" ht="16" x14ac:dyDescent="0.35">
      <c r="A29" s="1" t="s">
        <v>149</v>
      </c>
      <c r="B29">
        <v>5</v>
      </c>
      <c r="C29" s="4">
        <v>14.71</v>
      </c>
      <c r="D29" s="4">
        <f t="shared" si="0"/>
        <v>73.550000000000011</v>
      </c>
    </row>
    <row r="30" spans="1:4" ht="16" x14ac:dyDescent="0.35">
      <c r="A30" s="1"/>
      <c r="D30" s="4">
        <f t="shared" si="0"/>
        <v>0</v>
      </c>
    </row>
    <row r="31" spans="1:4" ht="16" x14ac:dyDescent="0.35">
      <c r="A31" s="1" t="s">
        <v>27</v>
      </c>
      <c r="B31">
        <v>22.5</v>
      </c>
      <c r="C31" s="4">
        <v>26.47</v>
      </c>
      <c r="D31" s="4">
        <f t="shared" si="0"/>
        <v>595.57499999999993</v>
      </c>
    </row>
    <row r="32" spans="1:4" ht="16" x14ac:dyDescent="0.35">
      <c r="A32" s="1" t="s">
        <v>28</v>
      </c>
      <c r="B32">
        <v>2.5</v>
      </c>
      <c r="C32" s="4">
        <v>27.31</v>
      </c>
      <c r="D32" s="4">
        <f t="shared" si="0"/>
        <v>68.274999999999991</v>
      </c>
    </row>
    <row r="33" spans="1:4" ht="16" x14ac:dyDescent="0.35">
      <c r="A33" s="1" t="s">
        <v>29</v>
      </c>
      <c r="B33">
        <v>2.5</v>
      </c>
      <c r="C33" s="4">
        <v>21.23</v>
      </c>
      <c r="D33" s="4">
        <f t="shared" si="0"/>
        <v>53.075000000000003</v>
      </c>
    </row>
    <row r="34" spans="1:4" ht="16" x14ac:dyDescent="0.35">
      <c r="A34" s="1" t="s">
        <v>30</v>
      </c>
      <c r="B34">
        <v>0</v>
      </c>
      <c r="C34" s="4">
        <v>26.41</v>
      </c>
      <c r="D34" s="4">
        <f t="shared" si="0"/>
        <v>0</v>
      </c>
    </row>
    <row r="35" spans="1:4" ht="16" x14ac:dyDescent="0.35">
      <c r="A35" s="1" t="s">
        <v>31</v>
      </c>
      <c r="B35">
        <v>0</v>
      </c>
      <c r="C35" s="4">
        <v>20.39</v>
      </c>
      <c r="D35" s="4">
        <f t="shared" si="0"/>
        <v>0</v>
      </c>
    </row>
    <row r="36" spans="1:4" ht="16" x14ac:dyDescent="0.35">
      <c r="A36" s="1" t="s">
        <v>123</v>
      </c>
      <c r="B36">
        <v>0</v>
      </c>
      <c r="C36" s="4">
        <v>231.29</v>
      </c>
      <c r="D36" s="4">
        <f t="shared" si="0"/>
        <v>0</v>
      </c>
    </row>
    <row r="37" spans="1:4" ht="16" x14ac:dyDescent="0.35">
      <c r="A37" s="1"/>
      <c r="D37" s="4">
        <f t="shared" si="0"/>
        <v>0</v>
      </c>
    </row>
    <row r="38" spans="1:4" ht="16" x14ac:dyDescent="0.35">
      <c r="A38" s="1" t="s">
        <v>1</v>
      </c>
      <c r="D38" s="4">
        <f t="shared" si="0"/>
        <v>0</v>
      </c>
    </row>
    <row r="39" spans="1:4" ht="16" x14ac:dyDescent="0.35">
      <c r="A39" s="1"/>
      <c r="D39" s="4">
        <f t="shared" si="0"/>
        <v>0</v>
      </c>
    </row>
    <row r="40" spans="1:4" x14ac:dyDescent="0.35">
      <c r="A40" s="2" t="s">
        <v>32</v>
      </c>
      <c r="B40">
        <v>2400</v>
      </c>
      <c r="C40" s="4">
        <v>0.79300000000000004</v>
      </c>
      <c r="D40" s="4">
        <f t="shared" si="0"/>
        <v>1903.2</v>
      </c>
    </row>
    <row r="41" spans="1:4" x14ac:dyDescent="0.35">
      <c r="A41" s="2" t="s">
        <v>150</v>
      </c>
      <c r="B41">
        <v>0</v>
      </c>
      <c r="C41" s="4">
        <v>0.8</v>
      </c>
      <c r="D41" s="4">
        <f>B41*C41</f>
        <v>0</v>
      </c>
    </row>
    <row r="42" spans="1:4" x14ac:dyDescent="0.35">
      <c r="A42" s="2" t="s">
        <v>33</v>
      </c>
      <c r="B42">
        <v>187.5</v>
      </c>
      <c r="C42" s="4">
        <v>0.83</v>
      </c>
      <c r="D42" s="4">
        <f t="shared" si="0"/>
        <v>155.625</v>
      </c>
    </row>
    <row r="43" spans="1:4" x14ac:dyDescent="0.35">
      <c r="A43" s="2" t="s">
        <v>34</v>
      </c>
      <c r="B43">
        <v>12.5</v>
      </c>
      <c r="C43" s="4">
        <v>1</v>
      </c>
      <c r="D43" s="4">
        <f t="shared" si="0"/>
        <v>12.5</v>
      </c>
    </row>
    <row r="44" spans="1:4" x14ac:dyDescent="0.35">
      <c r="A44" s="2" t="s">
        <v>35</v>
      </c>
      <c r="B44">
        <v>600</v>
      </c>
      <c r="C44" s="4">
        <v>0.79300000000000004</v>
      </c>
      <c r="D44" s="4">
        <f t="shared" si="0"/>
        <v>475.8</v>
      </c>
    </row>
    <row r="45" spans="1:4" x14ac:dyDescent="0.35">
      <c r="A45" s="2" t="s">
        <v>36</v>
      </c>
      <c r="B45">
        <v>12.5</v>
      </c>
      <c r="C45" s="4">
        <v>1.0609999999999999</v>
      </c>
      <c r="D45" s="4">
        <f t="shared" si="0"/>
        <v>13.262499999999999</v>
      </c>
    </row>
    <row r="46" spans="1:4" x14ac:dyDescent="0.35">
      <c r="A46" s="2" t="s">
        <v>37</v>
      </c>
      <c r="B46">
        <v>0</v>
      </c>
      <c r="C46" s="4">
        <v>0.88600000000000001</v>
      </c>
      <c r="D46" s="4">
        <f t="shared" si="0"/>
        <v>0</v>
      </c>
    </row>
    <row r="47" spans="1:4" ht="16" x14ac:dyDescent="0.35">
      <c r="A47" s="1" t="s">
        <v>38</v>
      </c>
      <c r="B47">
        <v>112.5</v>
      </c>
      <c r="C47" s="4">
        <v>0.80500000000000005</v>
      </c>
      <c r="D47" s="4">
        <f t="shared" si="0"/>
        <v>90.5625</v>
      </c>
    </row>
    <row r="48" spans="1:4" ht="16" x14ac:dyDescent="0.35">
      <c r="A48" s="1" t="s">
        <v>39</v>
      </c>
      <c r="B48">
        <v>50</v>
      </c>
      <c r="C48" s="4">
        <v>0.88600000000000001</v>
      </c>
      <c r="D48" s="4">
        <f t="shared" si="0"/>
        <v>44.3</v>
      </c>
    </row>
    <row r="49" spans="1:4" ht="16" x14ac:dyDescent="0.35">
      <c r="A49" s="1" t="s">
        <v>40</v>
      </c>
      <c r="B49">
        <v>0</v>
      </c>
      <c r="C49" s="4">
        <v>0.88600000000000001</v>
      </c>
      <c r="D49" s="4">
        <f t="shared" si="0"/>
        <v>0</v>
      </c>
    </row>
    <row r="50" spans="1:4" ht="16" x14ac:dyDescent="0.35">
      <c r="A50" s="1" t="s">
        <v>41</v>
      </c>
      <c r="B50">
        <v>25</v>
      </c>
      <c r="C50" s="4">
        <v>0.88600000000000001</v>
      </c>
      <c r="D50" s="4">
        <f t="shared" si="0"/>
        <v>22.15</v>
      </c>
    </row>
    <row r="51" spans="1:4" ht="16" x14ac:dyDescent="0.35">
      <c r="A51" s="1" t="s">
        <v>42</v>
      </c>
      <c r="B51">
        <v>25</v>
      </c>
      <c r="C51" s="4">
        <v>0.77</v>
      </c>
      <c r="D51" s="4">
        <f t="shared" si="0"/>
        <v>19.25</v>
      </c>
    </row>
    <row r="52" spans="1:4" ht="16" x14ac:dyDescent="0.35">
      <c r="A52" s="1" t="s">
        <v>43</v>
      </c>
      <c r="B52">
        <v>91.67</v>
      </c>
      <c r="C52" s="4">
        <v>0.75</v>
      </c>
      <c r="D52" s="4">
        <f t="shared" si="0"/>
        <v>68.752499999999998</v>
      </c>
    </row>
    <row r="53" spans="1:4" ht="16" x14ac:dyDescent="0.35">
      <c r="A53" s="1" t="s">
        <v>44</v>
      </c>
      <c r="B53">
        <v>0</v>
      </c>
      <c r="C53" s="4">
        <v>0.94</v>
      </c>
      <c r="D53" s="4">
        <f t="shared" si="0"/>
        <v>0</v>
      </c>
    </row>
    <row r="54" spans="1:4" ht="16" x14ac:dyDescent="0.35">
      <c r="A54" s="1" t="s">
        <v>45</v>
      </c>
      <c r="B54">
        <v>100</v>
      </c>
      <c r="C54" s="4">
        <v>1.0349999999999999</v>
      </c>
      <c r="D54" s="4">
        <f t="shared" si="0"/>
        <v>103.49999999999999</v>
      </c>
    </row>
    <row r="55" spans="1:4" ht="16" x14ac:dyDescent="0.35">
      <c r="A55" s="1" t="s">
        <v>46</v>
      </c>
      <c r="B55">
        <v>100</v>
      </c>
      <c r="C55" s="4">
        <v>1.0609999999999999</v>
      </c>
      <c r="D55" s="4">
        <f t="shared" si="0"/>
        <v>106.1</v>
      </c>
    </row>
    <row r="56" spans="1:4" x14ac:dyDescent="0.35">
      <c r="A56" s="2" t="s">
        <v>47</v>
      </c>
      <c r="B56">
        <v>17</v>
      </c>
      <c r="C56" s="4">
        <v>1</v>
      </c>
      <c r="D56" s="4">
        <f t="shared" si="0"/>
        <v>17</v>
      </c>
    </row>
    <row r="57" spans="1:4" x14ac:dyDescent="0.35">
      <c r="A57" s="2" t="s">
        <v>82</v>
      </c>
      <c r="B57">
        <v>25</v>
      </c>
      <c r="C57" s="4">
        <v>0.875</v>
      </c>
      <c r="D57" s="4">
        <f t="shared" si="0"/>
        <v>21.875</v>
      </c>
    </row>
    <row r="58" spans="1:4" x14ac:dyDescent="0.35">
      <c r="A58" s="2" t="s">
        <v>83</v>
      </c>
      <c r="B58">
        <v>25</v>
      </c>
      <c r="C58" s="4">
        <v>0.875</v>
      </c>
      <c r="D58" s="4">
        <f t="shared" si="0"/>
        <v>21.875</v>
      </c>
    </row>
    <row r="59" spans="1:4" x14ac:dyDescent="0.35">
      <c r="A59" s="2" t="s">
        <v>124</v>
      </c>
      <c r="B59">
        <v>0</v>
      </c>
      <c r="C59" s="4">
        <v>1</v>
      </c>
      <c r="D59" s="4">
        <f t="shared" si="0"/>
        <v>0</v>
      </c>
    </row>
    <row r="60" spans="1:4" x14ac:dyDescent="0.35">
      <c r="A60" s="2" t="s">
        <v>158</v>
      </c>
      <c r="B60">
        <v>25</v>
      </c>
      <c r="C60" s="4">
        <v>0.96</v>
      </c>
      <c r="D60" s="4">
        <f t="shared" si="0"/>
        <v>24</v>
      </c>
    </row>
    <row r="61" spans="1:4" x14ac:dyDescent="0.35">
      <c r="A61" s="2" t="s">
        <v>194</v>
      </c>
      <c r="B61">
        <v>75</v>
      </c>
      <c r="C61" s="4">
        <v>0.71</v>
      </c>
      <c r="D61" s="4">
        <f t="shared" si="0"/>
        <v>53.25</v>
      </c>
    </row>
    <row r="62" spans="1:4" x14ac:dyDescent="0.35">
      <c r="A62" s="2" t="s">
        <v>195</v>
      </c>
      <c r="B62">
        <v>25</v>
      </c>
      <c r="C62" s="4">
        <v>0.75</v>
      </c>
      <c r="D62" s="4">
        <f t="shared" si="0"/>
        <v>18.75</v>
      </c>
    </row>
    <row r="63" spans="1:4" x14ac:dyDescent="0.35">
      <c r="A63" s="2" t="s">
        <v>196</v>
      </c>
      <c r="B63">
        <v>25</v>
      </c>
      <c r="C63" s="4">
        <v>0.8</v>
      </c>
      <c r="D63" s="4">
        <f t="shared" si="0"/>
        <v>20</v>
      </c>
    </row>
    <row r="64" spans="1:4" ht="16" x14ac:dyDescent="0.35">
      <c r="A64" s="1"/>
      <c r="D64" s="4">
        <f t="shared" si="0"/>
        <v>0</v>
      </c>
    </row>
    <row r="65" spans="1:4" ht="16" x14ac:dyDescent="0.35">
      <c r="A65" s="1" t="s">
        <v>2</v>
      </c>
      <c r="D65" s="4">
        <f t="shared" si="0"/>
        <v>0</v>
      </c>
    </row>
    <row r="66" spans="1:4" ht="16" x14ac:dyDescent="0.35">
      <c r="A66" s="1"/>
      <c r="D66" s="4">
        <f t="shared" si="0"/>
        <v>0</v>
      </c>
    </row>
    <row r="67" spans="1:4" ht="16" x14ac:dyDescent="0.35">
      <c r="A67" s="1" t="s">
        <v>49</v>
      </c>
      <c r="B67">
        <v>28</v>
      </c>
      <c r="C67" s="4">
        <v>1.28</v>
      </c>
      <c r="D67" s="4">
        <f t="shared" si="0"/>
        <v>35.840000000000003</v>
      </c>
    </row>
    <row r="68" spans="1:4" ht="16" x14ac:dyDescent="0.35">
      <c r="A68" s="1" t="s">
        <v>50</v>
      </c>
      <c r="B68">
        <v>34.9</v>
      </c>
      <c r="C68" s="4">
        <v>1.9</v>
      </c>
      <c r="D68" s="4">
        <f t="shared" si="0"/>
        <v>66.309999999999988</v>
      </c>
    </row>
    <row r="69" spans="1:4" ht="16" x14ac:dyDescent="0.35">
      <c r="A69" s="1" t="s">
        <v>86</v>
      </c>
      <c r="B69">
        <v>19.5</v>
      </c>
      <c r="C69" s="4">
        <v>0.78</v>
      </c>
      <c r="D69" s="4">
        <f t="shared" si="0"/>
        <v>15.21</v>
      </c>
    </row>
    <row r="70" spans="1:4" ht="16" x14ac:dyDescent="0.35">
      <c r="A70" s="1" t="s">
        <v>87</v>
      </c>
      <c r="B70">
        <v>0</v>
      </c>
      <c r="C70" s="4">
        <v>1.885</v>
      </c>
      <c r="D70" s="4">
        <f t="shared" si="0"/>
        <v>0</v>
      </c>
    </row>
    <row r="71" spans="1:4" ht="16" x14ac:dyDescent="0.35">
      <c r="A71" s="1" t="s">
        <v>110</v>
      </c>
      <c r="B71">
        <v>22.9</v>
      </c>
      <c r="C71" s="4">
        <v>1.86</v>
      </c>
      <c r="D71" s="4">
        <f t="shared" si="0"/>
        <v>42.594000000000001</v>
      </c>
    </row>
    <row r="72" spans="1:4" ht="16" x14ac:dyDescent="0.35">
      <c r="A72" s="1" t="s">
        <v>111</v>
      </c>
      <c r="B72">
        <v>19</v>
      </c>
      <c r="C72" s="4">
        <v>1.68</v>
      </c>
      <c r="D72" s="4">
        <f t="shared" si="0"/>
        <v>31.919999999999998</v>
      </c>
    </row>
    <row r="73" spans="1:4" ht="16" x14ac:dyDescent="0.35">
      <c r="A73" s="1" t="s">
        <v>151</v>
      </c>
      <c r="B73">
        <v>3</v>
      </c>
      <c r="C73" s="4">
        <v>1.72</v>
      </c>
      <c r="D73" s="4">
        <f t="shared" si="0"/>
        <v>5.16</v>
      </c>
    </row>
    <row r="74" spans="1:4" ht="16" x14ac:dyDescent="0.35">
      <c r="A74" s="1"/>
      <c r="D74" s="4">
        <f t="shared" si="0"/>
        <v>0</v>
      </c>
    </row>
    <row r="75" spans="1:4" ht="16" x14ac:dyDescent="0.35">
      <c r="A75" s="1" t="s">
        <v>3</v>
      </c>
      <c r="D75" s="4">
        <f t="shared" si="0"/>
        <v>0</v>
      </c>
    </row>
    <row r="76" spans="1:4" ht="16" x14ac:dyDescent="0.35">
      <c r="A76" s="1"/>
      <c r="D76" s="4">
        <f t="shared" si="0"/>
        <v>0</v>
      </c>
    </row>
    <row r="77" spans="1:4" ht="16" x14ac:dyDescent="0.35">
      <c r="A77" s="1" t="s">
        <v>48</v>
      </c>
      <c r="B77">
        <v>2</v>
      </c>
      <c r="C77" s="4">
        <v>32.5</v>
      </c>
      <c r="D77" s="4">
        <f t="shared" si="0"/>
        <v>65</v>
      </c>
    </row>
    <row r="78" spans="1:4" ht="16" x14ac:dyDescent="0.35">
      <c r="A78" s="1" t="s">
        <v>51</v>
      </c>
      <c r="B78">
        <v>28</v>
      </c>
      <c r="C78" s="4">
        <v>1.1200000000000001</v>
      </c>
      <c r="D78" s="4">
        <f t="shared" si="0"/>
        <v>31.360000000000003</v>
      </c>
    </row>
    <row r="79" spans="1:4" ht="16" x14ac:dyDescent="0.35">
      <c r="A79" s="1" t="s">
        <v>84</v>
      </c>
      <c r="B79">
        <v>20</v>
      </c>
      <c r="C79" s="4">
        <v>7.5</v>
      </c>
      <c r="D79" s="4">
        <f t="shared" si="0"/>
        <v>150</v>
      </c>
    </row>
    <row r="80" spans="1:4" ht="16" x14ac:dyDescent="0.35">
      <c r="A80" s="1" t="s">
        <v>197</v>
      </c>
      <c r="B80">
        <v>8</v>
      </c>
      <c r="C80" s="4">
        <v>1.5</v>
      </c>
      <c r="D80" s="4">
        <f t="shared" si="0"/>
        <v>12</v>
      </c>
    </row>
    <row r="81" spans="1:4" ht="16" x14ac:dyDescent="0.35">
      <c r="A81" s="1"/>
      <c r="D81" s="4">
        <f t="shared" si="0"/>
        <v>0</v>
      </c>
    </row>
    <row r="82" spans="1:4" ht="16" x14ac:dyDescent="0.35">
      <c r="A82" s="1" t="s">
        <v>4</v>
      </c>
      <c r="D82" s="4">
        <f t="shared" si="0"/>
        <v>0</v>
      </c>
    </row>
    <row r="83" spans="1:4" ht="16" x14ac:dyDescent="0.35">
      <c r="A83" s="1"/>
      <c r="D83" s="4">
        <f t="shared" si="0"/>
        <v>0</v>
      </c>
    </row>
    <row r="84" spans="1:4" ht="16" x14ac:dyDescent="0.35">
      <c r="A84" s="1" t="s">
        <v>52</v>
      </c>
      <c r="B84">
        <v>600</v>
      </c>
      <c r="C84" s="4">
        <v>0.23799999999999999</v>
      </c>
      <c r="D84" s="4">
        <f t="shared" si="0"/>
        <v>142.79999999999998</v>
      </c>
    </row>
    <row r="85" spans="1:4" ht="16" x14ac:dyDescent="0.35">
      <c r="A85" s="1" t="s">
        <v>53</v>
      </c>
      <c r="B85">
        <v>600</v>
      </c>
      <c r="C85" s="4">
        <v>0.13</v>
      </c>
      <c r="D85" s="4">
        <f t="shared" si="0"/>
        <v>78</v>
      </c>
    </row>
    <row r="86" spans="1:4" ht="16" x14ac:dyDescent="0.35">
      <c r="A86" s="1"/>
      <c r="D86" s="4">
        <f t="shared" si="0"/>
        <v>0</v>
      </c>
    </row>
    <row r="87" spans="1:4" ht="16" x14ac:dyDescent="0.35">
      <c r="A87" s="1" t="s">
        <v>5</v>
      </c>
      <c r="D87" s="4">
        <f t="shared" si="0"/>
        <v>0</v>
      </c>
    </row>
    <row r="88" spans="1:4" ht="16" x14ac:dyDescent="0.35">
      <c r="A88" s="1"/>
      <c r="D88" s="4">
        <f t="shared" si="0"/>
        <v>0</v>
      </c>
    </row>
    <row r="89" spans="1:4" ht="16" x14ac:dyDescent="0.35">
      <c r="A89" s="1" t="s">
        <v>54</v>
      </c>
      <c r="B89">
        <v>10</v>
      </c>
      <c r="C89" s="4">
        <v>0.75</v>
      </c>
      <c r="D89" s="4">
        <f t="shared" ref="D89:D118" si="1">B89*C89</f>
        <v>7.5</v>
      </c>
    </row>
    <row r="90" spans="1:4" ht="16" x14ac:dyDescent="0.35">
      <c r="A90" s="1" t="s">
        <v>55</v>
      </c>
      <c r="B90">
        <v>75</v>
      </c>
      <c r="C90" s="4">
        <v>0.82</v>
      </c>
      <c r="D90" s="4">
        <f t="shared" si="1"/>
        <v>61.499999999999993</v>
      </c>
    </row>
    <row r="91" spans="1:4" ht="16" x14ac:dyDescent="0.35">
      <c r="A91" s="1" t="s">
        <v>56</v>
      </c>
      <c r="B91">
        <v>19</v>
      </c>
      <c r="C91" s="4">
        <v>1.39</v>
      </c>
      <c r="D91" s="4">
        <f t="shared" si="1"/>
        <v>26.409999999999997</v>
      </c>
    </row>
    <row r="92" spans="1:4" ht="16" x14ac:dyDescent="0.35">
      <c r="A92" s="1" t="s">
        <v>57</v>
      </c>
      <c r="B92">
        <v>25</v>
      </c>
      <c r="C92" s="4">
        <v>1.55</v>
      </c>
      <c r="D92" s="4">
        <f t="shared" si="1"/>
        <v>38.75</v>
      </c>
    </row>
    <row r="93" spans="1:4" ht="16" x14ac:dyDescent="0.35">
      <c r="A93" s="1" t="s">
        <v>88</v>
      </c>
      <c r="B93">
        <v>22</v>
      </c>
      <c r="C93" s="4">
        <v>1.55</v>
      </c>
      <c r="D93" s="4">
        <f t="shared" si="1"/>
        <v>34.1</v>
      </c>
    </row>
    <row r="94" spans="1:4" ht="16" x14ac:dyDescent="0.35">
      <c r="A94" s="1"/>
      <c r="D94" s="4">
        <f t="shared" si="1"/>
        <v>0</v>
      </c>
    </row>
    <row r="95" spans="1:4" ht="16" x14ac:dyDescent="0.35">
      <c r="A95" s="1" t="s">
        <v>6</v>
      </c>
      <c r="D95" s="4">
        <f t="shared" si="1"/>
        <v>0</v>
      </c>
    </row>
    <row r="96" spans="1:4" ht="16" x14ac:dyDescent="0.35">
      <c r="A96" s="1"/>
      <c r="D96" s="4">
        <f t="shared" si="1"/>
        <v>0</v>
      </c>
    </row>
    <row r="97" spans="1:4" ht="16" x14ac:dyDescent="0.35">
      <c r="A97" s="1" t="s">
        <v>58</v>
      </c>
      <c r="B97">
        <v>5</v>
      </c>
      <c r="C97" s="4">
        <v>19.600000000000001</v>
      </c>
      <c r="D97" s="4">
        <f t="shared" si="1"/>
        <v>98</v>
      </c>
    </row>
    <row r="98" spans="1:4" ht="16" x14ac:dyDescent="0.35">
      <c r="A98" s="1" t="s">
        <v>59</v>
      </c>
      <c r="B98">
        <v>2.7</v>
      </c>
      <c r="C98" s="4">
        <v>18.399999999999999</v>
      </c>
      <c r="D98" s="4">
        <f t="shared" si="1"/>
        <v>49.68</v>
      </c>
    </row>
    <row r="99" spans="1:4" ht="16" x14ac:dyDescent="0.35">
      <c r="A99" s="1" t="s">
        <v>60</v>
      </c>
      <c r="B99">
        <v>20</v>
      </c>
      <c r="C99" s="4">
        <v>3.3929999999999998</v>
      </c>
      <c r="D99" s="4">
        <f t="shared" si="1"/>
        <v>67.86</v>
      </c>
    </row>
    <row r="100" spans="1:4" ht="16" x14ac:dyDescent="0.35">
      <c r="A100" s="1" t="s">
        <v>61</v>
      </c>
      <c r="B100">
        <v>14</v>
      </c>
      <c r="C100" s="4">
        <v>2</v>
      </c>
      <c r="D100" s="4">
        <f t="shared" si="1"/>
        <v>28</v>
      </c>
    </row>
    <row r="101" spans="1:4" ht="16" x14ac:dyDescent="0.35">
      <c r="A101" s="1" t="s">
        <v>62</v>
      </c>
      <c r="B101">
        <v>6</v>
      </c>
      <c r="C101" s="4">
        <v>7</v>
      </c>
      <c r="D101" s="4">
        <f t="shared" si="1"/>
        <v>42</v>
      </c>
    </row>
    <row r="102" spans="1:4" ht="16" x14ac:dyDescent="0.35">
      <c r="A102" s="1" t="s">
        <v>107</v>
      </c>
      <c r="B102">
        <v>0.15</v>
      </c>
      <c r="C102" s="4">
        <v>198</v>
      </c>
      <c r="D102" s="4">
        <f t="shared" si="1"/>
        <v>29.7</v>
      </c>
    </row>
    <row r="103" spans="1:4" x14ac:dyDescent="0.35">
      <c r="A103" s="2"/>
      <c r="D103" s="4">
        <f t="shared" si="1"/>
        <v>0</v>
      </c>
    </row>
    <row r="104" spans="1:4" x14ac:dyDescent="0.35">
      <c r="A104" s="2" t="s">
        <v>89</v>
      </c>
      <c r="D104" s="4">
        <f t="shared" si="1"/>
        <v>0</v>
      </c>
    </row>
    <row r="105" spans="1:4" x14ac:dyDescent="0.35">
      <c r="A105" s="2"/>
    </row>
    <row r="106" spans="1:4" x14ac:dyDescent="0.35">
      <c r="A106" s="2" t="s">
        <v>183</v>
      </c>
      <c r="B106">
        <v>3</v>
      </c>
      <c r="C106" s="4">
        <v>46.5</v>
      </c>
      <c r="D106" s="4">
        <f t="shared" si="1"/>
        <v>139.5</v>
      </c>
    </row>
    <row r="107" spans="1:4" x14ac:dyDescent="0.35">
      <c r="A107" s="2" t="s">
        <v>90</v>
      </c>
      <c r="B107">
        <v>6</v>
      </c>
      <c r="C107" s="4">
        <v>37.5</v>
      </c>
      <c r="D107" s="4">
        <f t="shared" si="1"/>
        <v>225</v>
      </c>
    </row>
    <row r="108" spans="1:4" x14ac:dyDescent="0.35">
      <c r="A108" s="2" t="s">
        <v>91</v>
      </c>
      <c r="B108">
        <v>0</v>
      </c>
      <c r="C108" s="4">
        <v>56</v>
      </c>
      <c r="D108" s="4">
        <f t="shared" si="1"/>
        <v>0</v>
      </c>
    </row>
    <row r="109" spans="1:4" x14ac:dyDescent="0.35">
      <c r="A109" s="2"/>
      <c r="D109" s="4">
        <f t="shared" si="1"/>
        <v>0</v>
      </c>
    </row>
    <row r="110" spans="1:4" ht="16" x14ac:dyDescent="0.35">
      <c r="A110" s="1" t="s">
        <v>7</v>
      </c>
      <c r="D110" s="4">
        <f t="shared" si="1"/>
        <v>0</v>
      </c>
    </row>
    <row r="111" spans="1:4" x14ac:dyDescent="0.35">
      <c r="A111" s="2"/>
      <c r="D111" s="4">
        <f t="shared" si="1"/>
        <v>0</v>
      </c>
    </row>
    <row r="112" spans="1:4" ht="16" x14ac:dyDescent="0.35">
      <c r="A112" s="1" t="s">
        <v>69</v>
      </c>
      <c r="B112">
        <v>245</v>
      </c>
      <c r="C112" s="4">
        <v>10.7</v>
      </c>
      <c r="D112" s="4">
        <f t="shared" si="1"/>
        <v>2621.5</v>
      </c>
    </row>
    <row r="113" spans="1:4" ht="16" x14ac:dyDescent="0.35">
      <c r="A113" s="1" t="s">
        <v>63</v>
      </c>
      <c r="B113">
        <v>1</v>
      </c>
      <c r="C113" s="4">
        <v>16.29</v>
      </c>
      <c r="D113" s="4">
        <f t="shared" si="1"/>
        <v>16.29</v>
      </c>
    </row>
    <row r="114" spans="1:4" ht="16" x14ac:dyDescent="0.35">
      <c r="A114" s="1" t="s">
        <v>112</v>
      </c>
      <c r="B114">
        <v>0</v>
      </c>
      <c r="C114" s="4">
        <v>15</v>
      </c>
      <c r="D114" s="4">
        <f t="shared" si="1"/>
        <v>0</v>
      </c>
    </row>
    <row r="115" spans="1:4" ht="16" x14ac:dyDescent="0.35">
      <c r="A115" s="1" t="s">
        <v>122</v>
      </c>
      <c r="B115">
        <v>8</v>
      </c>
      <c r="C115" s="4">
        <v>12.75</v>
      </c>
      <c r="D115" s="4">
        <f t="shared" si="1"/>
        <v>102</v>
      </c>
    </row>
    <row r="116" spans="1:4" ht="16" x14ac:dyDescent="0.35">
      <c r="A116" s="1"/>
    </row>
    <row r="117" spans="1:4" ht="16" x14ac:dyDescent="0.35">
      <c r="A117" s="11" t="s">
        <v>198</v>
      </c>
      <c r="B117" s="12"/>
      <c r="C117" s="13"/>
      <c r="D117" s="14">
        <v>1514.17</v>
      </c>
    </row>
    <row r="118" spans="1:4" ht="16" x14ac:dyDescent="0.35">
      <c r="A118" s="1"/>
      <c r="D118" s="4">
        <f t="shared" si="1"/>
        <v>0</v>
      </c>
    </row>
    <row r="119" spans="1:4" ht="16" x14ac:dyDescent="0.35">
      <c r="A119" s="1" t="s">
        <v>99</v>
      </c>
      <c r="D119" s="5">
        <f>SUM(D8:D118)</f>
        <v>11061.925100000002</v>
      </c>
    </row>
    <row r="120" spans="1:4" ht="16" x14ac:dyDescent="0.35">
      <c r="A120" s="1"/>
    </row>
    <row r="121" spans="1:4" ht="16" x14ac:dyDescent="0.35">
      <c r="A121" s="1" t="s">
        <v>100</v>
      </c>
    </row>
    <row r="122" spans="1:4" ht="16" x14ac:dyDescent="0.35">
      <c r="A122" s="1"/>
    </row>
    <row r="123" spans="1:4" ht="16" x14ac:dyDescent="0.35">
      <c r="A123" s="1" t="s">
        <v>103</v>
      </c>
      <c r="B123" t="s">
        <v>104</v>
      </c>
      <c r="C123" s="4">
        <v>0</v>
      </c>
    </row>
    <row r="124" spans="1:4" ht="16" x14ac:dyDescent="0.35">
      <c r="A124" s="1"/>
    </row>
    <row r="125" spans="1:4" ht="16" x14ac:dyDescent="0.35">
      <c r="A125" s="1" t="s">
        <v>71</v>
      </c>
      <c r="B125" s="4">
        <v>623.98450000000003</v>
      </c>
      <c r="C125">
        <v>0</v>
      </c>
      <c r="D125" s="4">
        <f>(B125+C123)*C125</f>
        <v>0</v>
      </c>
    </row>
    <row r="126" spans="1:4" ht="16" x14ac:dyDescent="0.35">
      <c r="A126" s="1" t="s">
        <v>101</v>
      </c>
      <c r="B126" s="4">
        <v>1302</v>
      </c>
      <c r="C126">
        <v>0</v>
      </c>
      <c r="D126" s="4">
        <f>(B126+C123)*C126</f>
        <v>0</v>
      </c>
    </row>
    <row r="127" spans="1:4" ht="16" x14ac:dyDescent="0.35">
      <c r="A127" s="1" t="s">
        <v>140</v>
      </c>
      <c r="B127" s="4">
        <v>1457</v>
      </c>
      <c r="C127">
        <v>0</v>
      </c>
      <c r="D127" s="4">
        <f>(B127+C123)*C127</f>
        <v>0</v>
      </c>
    </row>
    <row r="128" spans="1:4" ht="16" x14ac:dyDescent="0.35">
      <c r="A128" s="1" t="s">
        <v>155</v>
      </c>
      <c r="B128" s="4">
        <v>1784</v>
      </c>
      <c r="C128">
        <v>0</v>
      </c>
      <c r="D128" s="4">
        <f>(B128+C123)*C128</f>
        <v>0</v>
      </c>
    </row>
    <row r="129" spans="1:4" ht="16" x14ac:dyDescent="0.35">
      <c r="A129" s="1" t="s">
        <v>65</v>
      </c>
      <c r="B129" s="4">
        <v>1587.6370000000002</v>
      </c>
      <c r="C129">
        <v>0</v>
      </c>
      <c r="D129" s="4">
        <f>(B129+C123)*C129</f>
        <v>0</v>
      </c>
    </row>
    <row r="130" spans="1:4" ht="16" x14ac:dyDescent="0.35">
      <c r="A130" s="1" t="s">
        <v>153</v>
      </c>
      <c r="B130" s="4">
        <v>2257.63</v>
      </c>
      <c r="C130">
        <v>0</v>
      </c>
      <c r="D130" s="4">
        <f>(B130+C124)*C130</f>
        <v>0</v>
      </c>
    </row>
    <row r="131" spans="1:4" ht="16" x14ac:dyDescent="0.35">
      <c r="A131" s="1" t="s">
        <v>70</v>
      </c>
      <c r="B131" s="4">
        <v>1550</v>
      </c>
      <c r="C131">
        <v>0</v>
      </c>
      <c r="D131" s="4">
        <f>(B131+C123)*C131</f>
        <v>0</v>
      </c>
    </row>
    <row r="132" spans="1:4" ht="16" x14ac:dyDescent="0.35">
      <c r="A132" s="1" t="s">
        <v>120</v>
      </c>
      <c r="B132" s="4">
        <f>B131*1.33</f>
        <v>2061.5</v>
      </c>
      <c r="C132">
        <v>0</v>
      </c>
      <c r="D132" s="4">
        <f>(B132+C123)*C132</f>
        <v>0</v>
      </c>
    </row>
    <row r="133" spans="1:4" ht="16" x14ac:dyDescent="0.35">
      <c r="A133" s="1" t="s">
        <v>64</v>
      </c>
      <c r="B133" s="4">
        <v>1048.42</v>
      </c>
      <c r="C133">
        <v>0</v>
      </c>
      <c r="D133" s="4">
        <f>(B133+C123)*C133</f>
        <v>0</v>
      </c>
    </row>
    <row r="134" spans="1:4" ht="16" x14ac:dyDescent="0.35">
      <c r="A134" s="1" t="s">
        <v>141</v>
      </c>
      <c r="B134" s="4">
        <v>1029</v>
      </c>
      <c r="C134">
        <v>0</v>
      </c>
      <c r="D134" s="4">
        <f>(B134+C123)*C134</f>
        <v>0</v>
      </c>
    </row>
    <row r="135" spans="1:4" ht="16" x14ac:dyDescent="0.35">
      <c r="A135" s="1" t="s">
        <v>72</v>
      </c>
      <c r="B135" s="4">
        <v>1142.32</v>
      </c>
      <c r="C135">
        <v>0</v>
      </c>
      <c r="D135" s="4">
        <f>(B135+C123)*C135</f>
        <v>0</v>
      </c>
    </row>
    <row r="136" spans="1:4" ht="16" x14ac:dyDescent="0.35">
      <c r="A136" s="1" t="s">
        <v>119</v>
      </c>
      <c r="B136" s="4">
        <v>2000</v>
      </c>
      <c r="C136">
        <v>0</v>
      </c>
      <c r="D136" s="4">
        <f>(B136+C123)*C136</f>
        <v>0</v>
      </c>
    </row>
    <row r="137" spans="1:4" ht="16" x14ac:dyDescent="0.35">
      <c r="A137" s="1" t="s">
        <v>125</v>
      </c>
      <c r="B137" s="4">
        <v>2051</v>
      </c>
      <c r="C137">
        <v>0</v>
      </c>
      <c r="D137" s="4">
        <f>(B137+C123)*C137</f>
        <v>0</v>
      </c>
    </row>
    <row r="138" spans="1:4" ht="16" x14ac:dyDescent="0.35">
      <c r="A138" s="1" t="s">
        <v>128</v>
      </c>
      <c r="B138" s="4">
        <v>1750</v>
      </c>
      <c r="C138">
        <v>0</v>
      </c>
      <c r="D138" s="4">
        <f>(B138+C123)*C138</f>
        <v>0</v>
      </c>
    </row>
    <row r="139" spans="1:4" ht="16" x14ac:dyDescent="0.35">
      <c r="A139" s="1" t="s">
        <v>139</v>
      </c>
      <c r="B139" s="4">
        <v>1254</v>
      </c>
      <c r="C139">
        <v>0</v>
      </c>
      <c r="D139" s="4">
        <f>(B139+C123)*C139</f>
        <v>0</v>
      </c>
    </row>
    <row r="140" spans="1:4" ht="16" x14ac:dyDescent="0.35">
      <c r="A140" s="1" t="s">
        <v>156</v>
      </c>
      <c r="B140" s="4">
        <v>3000</v>
      </c>
      <c r="C140">
        <v>0</v>
      </c>
      <c r="D140" s="4">
        <f>(B140+C123)*C140</f>
        <v>0</v>
      </c>
    </row>
    <row r="141" spans="1:4" ht="16" x14ac:dyDescent="0.35">
      <c r="A141" s="1" t="s">
        <v>159</v>
      </c>
      <c r="B141" s="4">
        <v>1578</v>
      </c>
      <c r="C141">
        <v>0</v>
      </c>
      <c r="D141" s="4">
        <f>(B141+C124)*C141</f>
        <v>0</v>
      </c>
    </row>
    <row r="142" spans="1:4" ht="16" x14ac:dyDescent="0.35">
      <c r="A142" s="1"/>
    </row>
    <row r="143" spans="1:4" ht="16" x14ac:dyDescent="0.35">
      <c r="A143" s="1" t="s">
        <v>102</v>
      </c>
      <c r="D143" s="5">
        <f>SUM(D125:D141)</f>
        <v>0</v>
      </c>
    </row>
    <row r="144" spans="1:4" ht="16" x14ac:dyDescent="0.35">
      <c r="A144" s="1"/>
    </row>
    <row r="145" spans="1:4" ht="16" x14ac:dyDescent="0.35">
      <c r="A145" s="1"/>
      <c r="D145" s="4">
        <f t="shared" ref="D145:D187" si="2">B145*C145</f>
        <v>0</v>
      </c>
    </row>
    <row r="146" spans="1:4" ht="16" x14ac:dyDescent="0.35">
      <c r="A146" s="1" t="s">
        <v>8</v>
      </c>
      <c r="D146" s="4">
        <f t="shared" si="2"/>
        <v>0</v>
      </c>
    </row>
    <row r="147" spans="1:4" ht="16" x14ac:dyDescent="0.35">
      <c r="A147" s="1"/>
      <c r="D147" s="4">
        <f t="shared" si="2"/>
        <v>0</v>
      </c>
    </row>
    <row r="148" spans="1:4" ht="16" x14ac:dyDescent="0.35">
      <c r="A148" s="1" t="s">
        <v>9</v>
      </c>
      <c r="D148" s="4">
        <f t="shared" si="2"/>
        <v>0</v>
      </c>
    </row>
    <row r="149" spans="1:4" ht="16" x14ac:dyDescent="0.35">
      <c r="A149" s="1" t="s">
        <v>64</v>
      </c>
      <c r="B149">
        <v>0</v>
      </c>
      <c r="C149" s="4">
        <v>27</v>
      </c>
      <c r="D149" s="4">
        <f t="shared" si="2"/>
        <v>0</v>
      </c>
    </row>
    <row r="150" spans="1:4" ht="16" x14ac:dyDescent="0.35">
      <c r="A150" s="1" t="s">
        <v>73</v>
      </c>
      <c r="B150">
        <v>9</v>
      </c>
      <c r="C150" s="4">
        <v>35</v>
      </c>
      <c r="D150" s="4">
        <f t="shared" si="2"/>
        <v>315</v>
      </c>
    </row>
    <row r="151" spans="1:4" ht="16" x14ac:dyDescent="0.35">
      <c r="A151" s="1" t="s">
        <v>188</v>
      </c>
      <c r="B151">
        <v>0</v>
      </c>
      <c r="C151" s="4">
        <v>27</v>
      </c>
      <c r="D151" s="4">
        <f t="shared" si="2"/>
        <v>0</v>
      </c>
    </row>
    <row r="152" spans="1:4" ht="16" x14ac:dyDescent="0.35">
      <c r="A152" s="1" t="s">
        <v>189</v>
      </c>
      <c r="B152">
        <v>0</v>
      </c>
      <c r="C152" s="4">
        <v>35</v>
      </c>
      <c r="D152" s="4">
        <f>B152*C152</f>
        <v>0</v>
      </c>
    </row>
    <row r="153" spans="1:4" ht="16" x14ac:dyDescent="0.35">
      <c r="A153" s="1" t="s">
        <v>65</v>
      </c>
      <c r="B153">
        <v>0</v>
      </c>
      <c r="C153" s="4">
        <v>38</v>
      </c>
      <c r="D153" s="4">
        <f t="shared" si="2"/>
        <v>0</v>
      </c>
    </row>
    <row r="154" spans="1:4" ht="16" x14ac:dyDescent="0.35">
      <c r="A154" s="1" t="s">
        <v>74</v>
      </c>
      <c r="B154">
        <v>0</v>
      </c>
      <c r="C154" s="4">
        <v>47</v>
      </c>
      <c r="D154" s="4">
        <f t="shared" si="2"/>
        <v>0</v>
      </c>
    </row>
    <row r="155" spans="1:4" ht="16" x14ac:dyDescent="0.35">
      <c r="A155" s="1" t="s">
        <v>75</v>
      </c>
      <c r="B155">
        <v>0</v>
      </c>
      <c r="C155" s="4">
        <v>57</v>
      </c>
      <c r="D155" s="4">
        <f t="shared" si="2"/>
        <v>0</v>
      </c>
    </row>
    <row r="156" spans="1:4" ht="16" x14ac:dyDescent="0.35">
      <c r="A156" s="1" t="s">
        <v>70</v>
      </c>
      <c r="B156">
        <v>0</v>
      </c>
      <c r="C156" s="4">
        <v>34</v>
      </c>
      <c r="D156" s="4">
        <f t="shared" si="2"/>
        <v>0</v>
      </c>
    </row>
    <row r="157" spans="1:4" ht="16" x14ac:dyDescent="0.35">
      <c r="A157" s="1" t="s">
        <v>76</v>
      </c>
      <c r="B157">
        <v>0</v>
      </c>
      <c r="C157" s="4">
        <v>44</v>
      </c>
      <c r="D157" s="4">
        <f t="shared" si="2"/>
        <v>0</v>
      </c>
    </row>
    <row r="158" spans="1:4" ht="16" x14ac:dyDescent="0.35">
      <c r="A158" s="1" t="s">
        <v>71</v>
      </c>
      <c r="B158">
        <v>1</v>
      </c>
      <c r="C158" s="4">
        <v>20</v>
      </c>
      <c r="D158" s="4">
        <f t="shared" si="2"/>
        <v>20</v>
      </c>
    </row>
    <row r="159" spans="1:4" ht="16" x14ac:dyDescent="0.35">
      <c r="A159" s="1" t="s">
        <v>77</v>
      </c>
      <c r="B159">
        <v>8</v>
      </c>
      <c r="C159" s="4">
        <v>29</v>
      </c>
      <c r="D159" s="4">
        <f t="shared" si="2"/>
        <v>232</v>
      </c>
    </row>
    <row r="160" spans="1:4" ht="16" x14ac:dyDescent="0.35">
      <c r="A160" s="1" t="s">
        <v>78</v>
      </c>
      <c r="B160">
        <v>0</v>
      </c>
      <c r="C160" s="4">
        <v>42</v>
      </c>
      <c r="D160" s="4">
        <f t="shared" si="2"/>
        <v>0</v>
      </c>
    </row>
    <row r="161" spans="1:4" ht="16" x14ac:dyDescent="0.35">
      <c r="A161" s="1" t="s">
        <v>72</v>
      </c>
      <c r="B161">
        <v>15</v>
      </c>
      <c r="C161" s="4">
        <v>30</v>
      </c>
      <c r="D161" s="4">
        <f t="shared" si="2"/>
        <v>450</v>
      </c>
    </row>
    <row r="162" spans="1:4" ht="16" x14ac:dyDescent="0.35">
      <c r="A162" s="1" t="s">
        <v>92</v>
      </c>
      <c r="B162">
        <v>7</v>
      </c>
      <c r="C162" s="4">
        <v>40</v>
      </c>
      <c r="D162" s="4">
        <f t="shared" si="2"/>
        <v>280</v>
      </c>
    </row>
    <row r="163" spans="1:4" ht="16" x14ac:dyDescent="0.35">
      <c r="A163" s="1" t="s">
        <v>93</v>
      </c>
      <c r="B163">
        <v>3</v>
      </c>
      <c r="C163" s="4">
        <v>34</v>
      </c>
      <c r="D163" s="4">
        <f t="shared" si="2"/>
        <v>102</v>
      </c>
    </row>
    <row r="164" spans="1:4" ht="16" x14ac:dyDescent="0.35">
      <c r="A164" s="1" t="s">
        <v>79</v>
      </c>
      <c r="B164">
        <v>6</v>
      </c>
      <c r="C164" s="4">
        <v>44</v>
      </c>
      <c r="D164" s="4">
        <f t="shared" si="2"/>
        <v>264</v>
      </c>
    </row>
    <row r="165" spans="1:4" ht="16" x14ac:dyDescent="0.35">
      <c r="A165" s="1" t="s">
        <v>184</v>
      </c>
      <c r="B165">
        <v>0</v>
      </c>
      <c r="C165" s="4">
        <v>35</v>
      </c>
      <c r="D165" s="4">
        <f t="shared" si="2"/>
        <v>0</v>
      </c>
    </row>
    <row r="166" spans="1:4" ht="16" x14ac:dyDescent="0.35">
      <c r="A166" s="1" t="s">
        <v>80</v>
      </c>
      <c r="B166">
        <v>0</v>
      </c>
      <c r="C166" s="4">
        <v>45</v>
      </c>
      <c r="D166" s="4">
        <f t="shared" si="2"/>
        <v>0</v>
      </c>
    </row>
    <row r="167" spans="1:4" ht="16" x14ac:dyDescent="0.35">
      <c r="A167" s="1" t="s">
        <v>94</v>
      </c>
      <c r="B167">
        <v>0</v>
      </c>
      <c r="C167" s="4">
        <v>43</v>
      </c>
      <c r="D167" s="4">
        <f t="shared" si="2"/>
        <v>0</v>
      </c>
    </row>
    <row r="168" spans="1:4" ht="16" x14ac:dyDescent="0.35">
      <c r="A168" s="1" t="s">
        <v>113</v>
      </c>
      <c r="B168">
        <v>0</v>
      </c>
      <c r="C168" s="4">
        <v>31</v>
      </c>
      <c r="D168" s="4">
        <f t="shared" si="2"/>
        <v>0</v>
      </c>
    </row>
    <row r="169" spans="1:4" ht="16" x14ac:dyDescent="0.35">
      <c r="A169" s="1" t="s">
        <v>121</v>
      </c>
      <c r="B169">
        <v>0</v>
      </c>
      <c r="C169" s="4">
        <v>40</v>
      </c>
      <c r="D169" s="4">
        <f t="shared" si="2"/>
        <v>0</v>
      </c>
    </row>
    <row r="170" spans="1:4" ht="16" x14ac:dyDescent="0.35">
      <c r="A170" s="1" t="s">
        <v>131</v>
      </c>
      <c r="B170">
        <v>0</v>
      </c>
      <c r="C170" s="4">
        <v>48</v>
      </c>
      <c r="D170" s="4">
        <f t="shared" si="2"/>
        <v>0</v>
      </c>
    </row>
    <row r="171" spans="1:4" ht="16" x14ac:dyDescent="0.35">
      <c r="A171" s="1" t="s">
        <v>132</v>
      </c>
      <c r="B171">
        <v>0</v>
      </c>
      <c r="C171" s="4">
        <v>33</v>
      </c>
      <c r="D171" s="4">
        <f t="shared" si="2"/>
        <v>0</v>
      </c>
    </row>
    <row r="172" spans="1:4" ht="16" x14ac:dyDescent="0.35">
      <c r="A172" s="1" t="s">
        <v>133</v>
      </c>
      <c r="B172">
        <v>0</v>
      </c>
      <c r="C172" s="4">
        <v>42</v>
      </c>
      <c r="D172" s="4">
        <f t="shared" si="2"/>
        <v>0</v>
      </c>
    </row>
    <row r="173" spans="1:4" ht="16" x14ac:dyDescent="0.35">
      <c r="A173" s="1" t="s">
        <v>134</v>
      </c>
      <c r="B173">
        <v>0</v>
      </c>
      <c r="C173" s="4">
        <v>29</v>
      </c>
      <c r="D173" s="4">
        <f t="shared" si="2"/>
        <v>0</v>
      </c>
    </row>
    <row r="174" spans="1:4" ht="16" x14ac:dyDescent="0.35">
      <c r="A174" s="1" t="s">
        <v>135</v>
      </c>
      <c r="B174">
        <v>0</v>
      </c>
      <c r="C174" s="4">
        <v>39</v>
      </c>
      <c r="D174" s="4">
        <f t="shared" si="2"/>
        <v>0</v>
      </c>
    </row>
    <row r="175" spans="1:4" ht="16" x14ac:dyDescent="0.35">
      <c r="A175" s="1" t="s">
        <v>142</v>
      </c>
      <c r="B175">
        <v>0</v>
      </c>
      <c r="C175" s="4">
        <v>38</v>
      </c>
      <c r="D175" s="4">
        <f t="shared" si="2"/>
        <v>0</v>
      </c>
    </row>
    <row r="176" spans="1:4" ht="16" x14ac:dyDescent="0.35">
      <c r="A176" s="1" t="s">
        <v>139</v>
      </c>
      <c r="B176">
        <v>0</v>
      </c>
      <c r="C176" s="4">
        <v>32</v>
      </c>
      <c r="D176" s="4">
        <f t="shared" si="2"/>
        <v>0</v>
      </c>
    </row>
    <row r="177" spans="1:4" ht="16" x14ac:dyDescent="0.35">
      <c r="A177" s="1" t="s">
        <v>152</v>
      </c>
      <c r="B177">
        <v>0</v>
      </c>
      <c r="C177" s="4">
        <v>42</v>
      </c>
      <c r="D177" s="4">
        <f t="shared" si="2"/>
        <v>0</v>
      </c>
    </row>
    <row r="178" spans="1:4" ht="16" x14ac:dyDescent="0.35">
      <c r="A178" s="1" t="s">
        <v>160</v>
      </c>
      <c r="B178">
        <v>0</v>
      </c>
      <c r="C178" s="4">
        <v>48.65</v>
      </c>
      <c r="D178" s="4">
        <f t="shared" ref="D178:D181" si="3">B178*C178</f>
        <v>0</v>
      </c>
    </row>
    <row r="179" spans="1:4" ht="16" x14ac:dyDescent="0.35">
      <c r="A179" s="1" t="s">
        <v>190</v>
      </c>
      <c r="B179">
        <v>0</v>
      </c>
      <c r="C179" s="4">
        <v>29</v>
      </c>
      <c r="D179" s="4">
        <f t="shared" si="3"/>
        <v>0</v>
      </c>
    </row>
    <row r="180" spans="1:4" ht="16" x14ac:dyDescent="0.35">
      <c r="A180" s="1" t="s">
        <v>191</v>
      </c>
      <c r="B180">
        <v>2</v>
      </c>
      <c r="C180" s="4">
        <v>37</v>
      </c>
      <c r="D180" s="4">
        <f t="shared" si="3"/>
        <v>74</v>
      </c>
    </row>
    <row r="181" spans="1:4" ht="16" x14ac:dyDescent="0.35">
      <c r="A181" s="1" t="s">
        <v>192</v>
      </c>
      <c r="B181">
        <v>0</v>
      </c>
      <c r="C181" s="4">
        <v>35.5</v>
      </c>
      <c r="D181" s="4">
        <f t="shared" si="3"/>
        <v>0</v>
      </c>
    </row>
    <row r="182" spans="1:4" ht="16" x14ac:dyDescent="0.35">
      <c r="A182" s="1"/>
    </row>
    <row r="183" spans="1:4" ht="16" x14ac:dyDescent="0.35">
      <c r="A183" s="1"/>
      <c r="D183" s="4">
        <f t="shared" si="2"/>
        <v>0</v>
      </c>
    </row>
    <row r="184" spans="1:4" ht="16" x14ac:dyDescent="0.35">
      <c r="A184" s="1" t="s">
        <v>10</v>
      </c>
      <c r="D184" s="4">
        <f t="shared" si="2"/>
        <v>0</v>
      </c>
    </row>
    <row r="185" spans="1:4" ht="16" x14ac:dyDescent="0.35">
      <c r="A185" s="1" t="s">
        <v>66</v>
      </c>
      <c r="B185">
        <v>0</v>
      </c>
      <c r="C185" s="4">
        <v>42</v>
      </c>
      <c r="D185" s="4">
        <f t="shared" si="2"/>
        <v>0</v>
      </c>
    </row>
    <row r="186" spans="1:4" ht="16" x14ac:dyDescent="0.35">
      <c r="A186" s="1" t="s">
        <v>67</v>
      </c>
      <c r="B186">
        <v>0</v>
      </c>
      <c r="C186" s="4">
        <v>39</v>
      </c>
      <c r="D186" s="4">
        <f t="shared" si="2"/>
        <v>0</v>
      </c>
    </row>
    <row r="187" spans="1:4" ht="16" x14ac:dyDescent="0.35">
      <c r="A187" s="1" t="s">
        <v>68</v>
      </c>
      <c r="B187">
        <v>0</v>
      </c>
      <c r="C187" s="4">
        <v>37</v>
      </c>
      <c r="D187" s="4">
        <f t="shared" si="2"/>
        <v>0</v>
      </c>
    </row>
    <row r="188" spans="1:4" ht="16" x14ac:dyDescent="0.35">
      <c r="A188" s="1" t="s">
        <v>105</v>
      </c>
      <c r="B188">
        <v>0</v>
      </c>
      <c r="C188" s="4">
        <v>70</v>
      </c>
      <c r="D188" s="4">
        <f>B188*C188</f>
        <v>0</v>
      </c>
    </row>
    <row r="189" spans="1:4" ht="16" x14ac:dyDescent="0.35">
      <c r="A189" s="1" t="s">
        <v>114</v>
      </c>
      <c r="B189">
        <v>0</v>
      </c>
      <c r="C189" s="4">
        <v>42</v>
      </c>
      <c r="D189" s="4">
        <f t="shared" ref="D189:D197" si="4">B189*C189</f>
        <v>0</v>
      </c>
    </row>
    <row r="190" spans="1:4" ht="16" x14ac:dyDescent="0.35">
      <c r="A190" s="1" t="s">
        <v>115</v>
      </c>
      <c r="B190">
        <v>31</v>
      </c>
      <c r="C190" s="4">
        <v>59.37</v>
      </c>
      <c r="D190" s="4">
        <f t="shared" si="4"/>
        <v>1840.47</v>
      </c>
    </row>
    <row r="191" spans="1:4" ht="16" x14ac:dyDescent="0.35">
      <c r="A191" s="1" t="s">
        <v>117</v>
      </c>
      <c r="B191">
        <v>0</v>
      </c>
      <c r="C191" s="4">
        <v>53</v>
      </c>
      <c r="D191" s="4">
        <f t="shared" si="4"/>
        <v>0</v>
      </c>
    </row>
    <row r="192" spans="1:4" ht="16" x14ac:dyDescent="0.35">
      <c r="A192" s="1" t="s">
        <v>116</v>
      </c>
      <c r="B192">
        <v>0</v>
      </c>
      <c r="C192" s="4">
        <v>35</v>
      </c>
      <c r="D192" s="4">
        <f t="shared" si="4"/>
        <v>0</v>
      </c>
    </row>
    <row r="193" spans="1:4" ht="16" x14ac:dyDescent="0.35">
      <c r="A193" s="1" t="s">
        <v>118</v>
      </c>
      <c r="B193">
        <v>0</v>
      </c>
      <c r="C193" s="4">
        <v>55</v>
      </c>
      <c r="D193" s="4">
        <f t="shared" si="4"/>
        <v>0</v>
      </c>
    </row>
    <row r="194" spans="1:4" ht="16" x14ac:dyDescent="0.35">
      <c r="A194" s="1" t="s">
        <v>157</v>
      </c>
      <c r="B194">
        <v>0</v>
      </c>
      <c r="C194" s="4">
        <v>37</v>
      </c>
      <c r="D194" s="4">
        <f>B194*C194</f>
        <v>0</v>
      </c>
    </row>
    <row r="195" spans="1:4" ht="16" x14ac:dyDescent="0.35">
      <c r="A195" s="1" t="s">
        <v>126</v>
      </c>
      <c r="B195">
        <v>1</v>
      </c>
      <c r="C195" s="4">
        <v>40</v>
      </c>
      <c r="D195" s="4">
        <f t="shared" si="4"/>
        <v>40</v>
      </c>
    </row>
    <row r="196" spans="1:4" ht="16" x14ac:dyDescent="0.35">
      <c r="A196" s="1" t="s">
        <v>143</v>
      </c>
      <c r="B196">
        <v>16</v>
      </c>
      <c r="C196" s="4">
        <v>37</v>
      </c>
      <c r="D196" s="4">
        <f t="shared" si="4"/>
        <v>592</v>
      </c>
    </row>
    <row r="197" spans="1:4" ht="16" x14ac:dyDescent="0.35">
      <c r="A197" s="1" t="s">
        <v>127</v>
      </c>
      <c r="B197">
        <v>0</v>
      </c>
      <c r="C197" s="4">
        <v>47.5</v>
      </c>
      <c r="D197" s="4">
        <f t="shared" si="4"/>
        <v>0</v>
      </c>
    </row>
    <row r="198" spans="1:4" ht="16" x14ac:dyDescent="0.35">
      <c r="A198" s="1" t="s">
        <v>130</v>
      </c>
      <c r="B198">
        <v>0</v>
      </c>
      <c r="C198" s="4">
        <v>43.5</v>
      </c>
      <c r="D198" s="4">
        <f t="shared" ref="D198" si="5">B198*C198</f>
        <v>0</v>
      </c>
    </row>
    <row r="199" spans="1:4" ht="16" x14ac:dyDescent="0.35">
      <c r="A199" s="1" t="s">
        <v>129</v>
      </c>
      <c r="B199">
        <v>0</v>
      </c>
      <c r="C199" s="4">
        <v>41</v>
      </c>
      <c r="D199" s="4">
        <f t="shared" ref="D199:D206" si="6">B199*C199</f>
        <v>0</v>
      </c>
    </row>
    <row r="200" spans="1:4" ht="16" x14ac:dyDescent="0.35">
      <c r="A200" s="1" t="s">
        <v>136</v>
      </c>
      <c r="B200">
        <v>0</v>
      </c>
      <c r="C200" s="4">
        <v>42</v>
      </c>
      <c r="D200" s="4">
        <f t="shared" si="6"/>
        <v>0</v>
      </c>
    </row>
    <row r="201" spans="1:4" ht="16" x14ac:dyDescent="0.35">
      <c r="A201" s="1" t="s">
        <v>137</v>
      </c>
      <c r="B201">
        <v>0</v>
      </c>
      <c r="C201" s="4">
        <v>40</v>
      </c>
      <c r="D201" s="4">
        <f t="shared" si="6"/>
        <v>0</v>
      </c>
    </row>
    <row r="202" spans="1:4" ht="16" x14ac:dyDescent="0.35">
      <c r="A202" s="1" t="s">
        <v>142</v>
      </c>
      <c r="B202">
        <v>18</v>
      </c>
      <c r="C202" s="4">
        <v>40</v>
      </c>
      <c r="D202" s="4">
        <f t="shared" si="6"/>
        <v>720</v>
      </c>
    </row>
    <row r="203" spans="1:4" ht="16" x14ac:dyDescent="0.35">
      <c r="A203" s="1" t="s">
        <v>186</v>
      </c>
      <c r="B203">
        <v>0</v>
      </c>
      <c r="C203" s="4">
        <v>47.5</v>
      </c>
      <c r="D203" s="4">
        <f t="shared" ref="D203:D204" si="7">B203*C203</f>
        <v>0</v>
      </c>
    </row>
    <row r="204" spans="1:4" ht="16" x14ac:dyDescent="0.35">
      <c r="A204" s="1" t="s">
        <v>185</v>
      </c>
      <c r="B204">
        <v>0</v>
      </c>
      <c r="C204" s="4">
        <v>37</v>
      </c>
      <c r="D204" s="4">
        <f t="shared" si="7"/>
        <v>0</v>
      </c>
    </row>
    <row r="205" spans="1:4" ht="16" x14ac:dyDescent="0.35">
      <c r="A205" s="1"/>
    </row>
    <row r="206" spans="1:4" ht="16" x14ac:dyDescent="0.35">
      <c r="A206" s="1"/>
      <c r="D206" s="4">
        <f t="shared" si="6"/>
        <v>0</v>
      </c>
    </row>
    <row r="207" spans="1:4" ht="16" x14ac:dyDescent="0.35">
      <c r="A207" s="7" t="s">
        <v>154</v>
      </c>
      <c r="B207" s="8">
        <v>0</v>
      </c>
      <c r="C207" s="9">
        <v>0</v>
      </c>
      <c r="D207" s="9">
        <f>B207*C207</f>
        <v>0</v>
      </c>
    </row>
    <row r="209" spans="1:4" ht="16" x14ac:dyDescent="0.35">
      <c r="A209" s="1" t="s">
        <v>144</v>
      </c>
      <c r="D209" s="5">
        <f>SUM(D149:D208)</f>
        <v>4929.47</v>
      </c>
    </row>
    <row r="211" spans="1:4" x14ac:dyDescent="0.35">
      <c r="A211" t="s">
        <v>145</v>
      </c>
    </row>
    <row r="213" spans="1:4" x14ac:dyDescent="0.35">
      <c r="A213" t="s">
        <v>146</v>
      </c>
      <c r="B213">
        <v>34</v>
      </c>
      <c r="C213" s="4">
        <v>12.12</v>
      </c>
      <c r="D213" s="4">
        <f>B213*C213</f>
        <v>412.08</v>
      </c>
    </row>
    <row r="214" spans="1:4" x14ac:dyDescent="0.35">
      <c r="A214" t="s">
        <v>147</v>
      </c>
      <c r="B214">
        <v>5</v>
      </c>
      <c r="C214" s="4">
        <v>12.6</v>
      </c>
      <c r="D214" s="4">
        <f>B214*C214</f>
        <v>63</v>
      </c>
    </row>
    <row r="216" spans="1:4" x14ac:dyDescent="0.35">
      <c r="A216" t="s">
        <v>148</v>
      </c>
      <c r="D216" s="5">
        <f>SUM(D213:D214)</f>
        <v>475.08</v>
      </c>
    </row>
    <row r="217" spans="1:4" x14ac:dyDescent="0.35">
      <c r="D217" s="10"/>
    </row>
    <row r="218" spans="1:4" x14ac:dyDescent="0.35">
      <c r="A218" t="s">
        <v>161</v>
      </c>
      <c r="D218" s="10"/>
    </row>
    <row r="219" spans="1:4" x14ac:dyDescent="0.35">
      <c r="D219" s="10"/>
    </row>
    <row r="220" spans="1:4" x14ac:dyDescent="0.35">
      <c r="A220" t="s">
        <v>162</v>
      </c>
      <c r="B220">
        <v>0</v>
      </c>
      <c r="C220" s="4">
        <v>65.42</v>
      </c>
      <c r="D220" s="4">
        <f>C220*B220</f>
        <v>0</v>
      </c>
    </row>
    <row r="221" spans="1:4" x14ac:dyDescent="0.35">
      <c r="A221" t="s">
        <v>163</v>
      </c>
      <c r="B221">
        <v>0</v>
      </c>
      <c r="C221" s="4">
        <v>65.44</v>
      </c>
      <c r="D221" s="4">
        <f t="shared" ref="D221:D245" si="8">C221*B221</f>
        <v>0</v>
      </c>
    </row>
    <row r="222" spans="1:4" x14ac:dyDescent="0.35">
      <c r="D222" s="4">
        <f t="shared" si="8"/>
        <v>0</v>
      </c>
    </row>
    <row r="223" spans="1:4" x14ac:dyDescent="0.35">
      <c r="A223" t="s">
        <v>165</v>
      </c>
      <c r="B223">
        <v>0</v>
      </c>
      <c r="C223" s="4">
        <v>92.38</v>
      </c>
      <c r="D223" s="4">
        <f t="shared" si="8"/>
        <v>0</v>
      </c>
    </row>
    <row r="224" spans="1:4" x14ac:dyDescent="0.35">
      <c r="A224" t="s">
        <v>164</v>
      </c>
      <c r="B224">
        <v>0</v>
      </c>
      <c r="C224" s="4">
        <v>1.69</v>
      </c>
      <c r="D224" s="4">
        <f t="shared" si="8"/>
        <v>0</v>
      </c>
    </row>
    <row r="225" spans="1:4" x14ac:dyDescent="0.35">
      <c r="A225" t="s">
        <v>169</v>
      </c>
      <c r="B225">
        <v>0</v>
      </c>
      <c r="C225" s="4">
        <v>91.57</v>
      </c>
      <c r="D225" s="4">
        <f t="shared" si="8"/>
        <v>0</v>
      </c>
    </row>
    <row r="226" spans="1:4" x14ac:dyDescent="0.35">
      <c r="A226" t="s">
        <v>166</v>
      </c>
      <c r="B226">
        <v>89</v>
      </c>
      <c r="C226" s="4">
        <v>1.6850000000000001</v>
      </c>
      <c r="D226" s="4">
        <f t="shared" si="8"/>
        <v>149.965</v>
      </c>
    </row>
    <row r="227" spans="1:4" x14ac:dyDescent="0.35">
      <c r="A227" t="s">
        <v>167</v>
      </c>
      <c r="B227">
        <v>93</v>
      </c>
      <c r="C227" s="4">
        <v>1.7616000000000001</v>
      </c>
      <c r="D227" s="4">
        <f t="shared" si="8"/>
        <v>163.8288</v>
      </c>
    </row>
    <row r="228" spans="1:4" x14ac:dyDescent="0.35">
      <c r="A228" t="s">
        <v>168</v>
      </c>
      <c r="B228">
        <v>21</v>
      </c>
      <c r="C228" s="4">
        <v>2.1160000000000001</v>
      </c>
      <c r="D228" s="4">
        <f t="shared" si="8"/>
        <v>44.436</v>
      </c>
    </row>
    <row r="229" spans="1:4" x14ac:dyDescent="0.35">
      <c r="D229" s="4">
        <f t="shared" si="8"/>
        <v>0</v>
      </c>
    </row>
    <row r="230" spans="1:4" x14ac:dyDescent="0.35">
      <c r="A230" t="s">
        <v>170</v>
      </c>
      <c r="B230">
        <v>0</v>
      </c>
      <c r="C230" s="4">
        <v>73.88</v>
      </c>
      <c r="D230" s="4">
        <f t="shared" si="8"/>
        <v>0</v>
      </c>
    </row>
    <row r="231" spans="1:4" x14ac:dyDescent="0.35">
      <c r="A231" t="s">
        <v>171</v>
      </c>
      <c r="B231">
        <v>75</v>
      </c>
      <c r="C231" s="4">
        <v>1.1539999999999999</v>
      </c>
      <c r="D231" s="4">
        <f t="shared" si="8"/>
        <v>86.55</v>
      </c>
    </row>
    <row r="232" spans="1:4" x14ac:dyDescent="0.35">
      <c r="A232" t="s">
        <v>172</v>
      </c>
      <c r="B232">
        <v>0</v>
      </c>
      <c r="C232" s="4">
        <v>1.466</v>
      </c>
      <c r="D232" s="4">
        <f t="shared" si="8"/>
        <v>0</v>
      </c>
    </row>
    <row r="233" spans="1:4" x14ac:dyDescent="0.35">
      <c r="D233" s="4">
        <f t="shared" si="8"/>
        <v>0</v>
      </c>
    </row>
    <row r="234" spans="1:4" x14ac:dyDescent="0.35">
      <c r="A234" t="s">
        <v>173</v>
      </c>
      <c r="B234">
        <v>0</v>
      </c>
      <c r="C234" s="4">
        <v>70.97</v>
      </c>
      <c r="D234" s="4">
        <f t="shared" si="8"/>
        <v>0</v>
      </c>
    </row>
    <row r="235" spans="1:4" x14ac:dyDescent="0.35">
      <c r="D235" s="4">
        <f t="shared" si="8"/>
        <v>0</v>
      </c>
    </row>
    <row r="236" spans="1:4" x14ac:dyDescent="0.35">
      <c r="A236" t="s">
        <v>174</v>
      </c>
      <c r="B236">
        <v>85</v>
      </c>
      <c r="C236" s="4">
        <v>1.704</v>
      </c>
      <c r="D236" s="4">
        <f t="shared" si="8"/>
        <v>144.84</v>
      </c>
    </row>
    <row r="237" spans="1:4" x14ac:dyDescent="0.35">
      <c r="A237" t="s">
        <v>175</v>
      </c>
      <c r="B237">
        <v>90</v>
      </c>
      <c r="C237" s="4">
        <v>1.7549999999999999</v>
      </c>
      <c r="D237" s="4">
        <f t="shared" si="8"/>
        <v>157.94999999999999</v>
      </c>
    </row>
    <row r="238" spans="1:4" x14ac:dyDescent="0.35">
      <c r="D238" s="4">
        <f t="shared" si="8"/>
        <v>0</v>
      </c>
    </row>
    <row r="239" spans="1:4" x14ac:dyDescent="0.35">
      <c r="A239" t="s">
        <v>176</v>
      </c>
      <c r="B239">
        <v>0</v>
      </c>
      <c r="C239" s="4">
        <v>1.64</v>
      </c>
      <c r="D239" s="4">
        <f t="shared" si="8"/>
        <v>0</v>
      </c>
    </row>
    <row r="240" spans="1:4" x14ac:dyDescent="0.35">
      <c r="A240" t="s">
        <v>178</v>
      </c>
      <c r="B240">
        <v>0</v>
      </c>
      <c r="C240" s="4">
        <v>1.6719999999999999</v>
      </c>
      <c r="D240" s="4">
        <f t="shared" si="8"/>
        <v>0</v>
      </c>
    </row>
    <row r="241" spans="1:4" x14ac:dyDescent="0.35">
      <c r="A241" t="s">
        <v>177</v>
      </c>
      <c r="B241">
        <v>24</v>
      </c>
      <c r="C241" s="4">
        <v>1.42</v>
      </c>
      <c r="D241" s="4">
        <f t="shared" si="8"/>
        <v>34.08</v>
      </c>
    </row>
    <row r="242" spans="1:4" x14ac:dyDescent="0.35">
      <c r="A242" t="s">
        <v>187</v>
      </c>
      <c r="B242">
        <v>24</v>
      </c>
      <c r="C242" s="4">
        <v>1.65</v>
      </c>
      <c r="D242" s="4">
        <f t="shared" si="8"/>
        <v>39.599999999999994</v>
      </c>
    </row>
    <row r="243" spans="1:4" x14ac:dyDescent="0.35">
      <c r="A243" t="s">
        <v>179</v>
      </c>
      <c r="B243">
        <v>1</v>
      </c>
      <c r="C243" s="4">
        <v>46.31</v>
      </c>
      <c r="D243" s="4">
        <f t="shared" si="8"/>
        <v>46.31</v>
      </c>
    </row>
    <row r="244" spans="1:4" x14ac:dyDescent="0.35">
      <c r="A244" t="s">
        <v>180</v>
      </c>
      <c r="B244">
        <v>0</v>
      </c>
      <c r="C244" s="4">
        <v>45.08</v>
      </c>
      <c r="D244" s="4">
        <f t="shared" si="8"/>
        <v>0</v>
      </c>
    </row>
    <row r="245" spans="1:4" x14ac:dyDescent="0.35">
      <c r="A245" t="s">
        <v>181</v>
      </c>
      <c r="B245">
        <v>0</v>
      </c>
      <c r="C245" s="4">
        <v>42.01</v>
      </c>
      <c r="D245" s="4">
        <f t="shared" si="8"/>
        <v>0</v>
      </c>
    </row>
    <row r="246" spans="1:4" x14ac:dyDescent="0.35">
      <c r="D246" s="10"/>
    </row>
    <row r="247" spans="1:4" x14ac:dyDescent="0.35">
      <c r="D247" s="10"/>
    </row>
    <row r="248" spans="1:4" x14ac:dyDescent="0.35">
      <c r="A248" t="s">
        <v>182</v>
      </c>
      <c r="D248" s="5">
        <f>SUM(D220:D245)</f>
        <v>867.5598</v>
      </c>
    </row>
    <row r="250" spans="1:4" x14ac:dyDescent="0.35">
      <c r="A250" t="s">
        <v>106</v>
      </c>
      <c r="D250" s="6">
        <f>D119+D143+D209+D216+D248</f>
        <v>17334.034900000002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Collett</dc:creator>
  <cp:lastModifiedBy>Elliott Collett</cp:lastModifiedBy>
  <cp:lastPrinted>2026-02-27T12:13:16Z</cp:lastPrinted>
  <dcterms:created xsi:type="dcterms:W3CDTF">2024-06-03T10:15:43Z</dcterms:created>
  <dcterms:modified xsi:type="dcterms:W3CDTF">2026-02-27T13:47:06Z</dcterms:modified>
</cp:coreProperties>
</file>