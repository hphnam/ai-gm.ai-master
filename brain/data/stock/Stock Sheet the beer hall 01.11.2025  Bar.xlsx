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Brewing\LuneBrew\"/>
    </mc:Choice>
  </mc:AlternateContent>
  <xr:revisionPtr revIDLastSave="0" documentId="13_ncr:1_{37BA88FB-A35C-4401-B668-2DADEAE8FD1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to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PBgPAVqZUmhxVNi3VmWfKQIt6hevip1HptgDoRcLeLg="/>
    </ext>
  </extLst>
</workbook>
</file>

<file path=xl/calcChain.xml><?xml version="1.0" encoding="utf-8"?>
<calcChain xmlns="http://schemas.openxmlformats.org/spreadsheetml/2006/main">
  <c r="D18" i="1" l="1"/>
  <c r="D150" i="1"/>
  <c r="D157" i="1"/>
  <c r="D159" i="1"/>
  <c r="D165" i="1"/>
  <c r="D170" i="1"/>
  <c r="D142" i="1"/>
  <c r="D127" i="1"/>
  <c r="D106" i="1"/>
  <c r="D42" i="1"/>
  <c r="D24" i="1"/>
  <c r="D14" i="1"/>
  <c r="C181" i="1"/>
  <c r="D181" i="1" s="1"/>
  <c r="D179" i="1"/>
  <c r="C176" i="1"/>
  <c r="D176" i="1" s="1"/>
  <c r="C171" i="1"/>
  <c r="D171" i="1" s="1"/>
  <c r="C167" i="1"/>
  <c r="D167" i="1" s="1"/>
  <c r="C164" i="1"/>
  <c r="D164" i="1" s="1"/>
  <c r="C163" i="1"/>
  <c r="D163" i="1" s="1"/>
  <c r="C162" i="1"/>
  <c r="D162" i="1" s="1"/>
  <c r="C158" i="1"/>
  <c r="D158" i="1" s="1"/>
  <c r="C156" i="1"/>
  <c r="D156" i="1" s="1"/>
  <c r="C155" i="1"/>
  <c r="D155" i="1" s="1"/>
  <c r="C153" i="1"/>
  <c r="D153" i="1" s="1"/>
  <c r="C152" i="1"/>
  <c r="D152" i="1" s="1"/>
  <c r="C151" i="1"/>
  <c r="D151" i="1" s="1"/>
  <c r="C149" i="1"/>
  <c r="D149" i="1" s="1"/>
  <c r="C148" i="1"/>
  <c r="D148" i="1" s="1"/>
  <c r="D25" i="1"/>
  <c r="C145" i="1"/>
  <c r="D145" i="1" s="1"/>
  <c r="C140" i="1"/>
  <c r="D140" i="1" s="1"/>
  <c r="C141" i="1"/>
  <c r="D141" i="1" s="1"/>
  <c r="C144" i="1"/>
  <c r="D144" i="1" s="1"/>
  <c r="D143" i="1"/>
  <c r="D110" i="1"/>
  <c r="D111" i="1"/>
  <c r="D112" i="1"/>
  <c r="D100" i="1"/>
  <c r="D101" i="1"/>
  <c r="D102" i="1"/>
  <c r="D94" i="1"/>
  <c r="D95" i="1"/>
  <c r="D86" i="1"/>
  <c r="D87" i="1"/>
  <c r="D88" i="1"/>
  <c r="D166" i="1"/>
  <c r="D59" i="1"/>
  <c r="D40" i="1"/>
  <c r="D22" i="1"/>
  <c r="C195" i="1"/>
  <c r="D195" i="1" s="1"/>
  <c r="D194" i="1"/>
  <c r="D193" i="1"/>
  <c r="D192" i="1"/>
  <c r="D191" i="1"/>
  <c r="D190" i="1"/>
  <c r="D187" i="1"/>
  <c r="D186" i="1"/>
  <c r="D185" i="1"/>
  <c r="D184" i="1"/>
  <c r="D180" i="1"/>
  <c r="D178" i="1"/>
  <c r="D177" i="1"/>
  <c r="D175" i="1"/>
  <c r="O174" i="1"/>
  <c r="D174" i="1"/>
  <c r="O173" i="1"/>
  <c r="D173" i="1"/>
  <c r="D172" i="1"/>
  <c r="D169" i="1"/>
  <c r="O168" i="1"/>
  <c r="D168" i="1"/>
  <c r="O154" i="1"/>
  <c r="D154" i="1"/>
  <c r="O153" i="1"/>
  <c r="O152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6" i="1"/>
  <c r="D122" i="1"/>
  <c r="D121" i="1"/>
  <c r="D120" i="1"/>
  <c r="D119" i="1"/>
  <c r="D118" i="1"/>
  <c r="D117" i="1"/>
  <c r="D116" i="1"/>
  <c r="D115" i="1"/>
  <c r="D114" i="1"/>
  <c r="D113" i="1"/>
  <c r="D109" i="1"/>
  <c r="O107" i="1"/>
  <c r="D105" i="1"/>
  <c r="D104" i="1"/>
  <c r="D103" i="1"/>
  <c r="D97" i="1"/>
  <c r="D96" i="1"/>
  <c r="D91" i="1"/>
  <c r="D90" i="1"/>
  <c r="D89" i="1"/>
  <c r="O85" i="1"/>
  <c r="O89" i="1" s="1"/>
  <c r="D83" i="1"/>
  <c r="D82" i="1"/>
  <c r="D81" i="1"/>
  <c r="D80" i="1"/>
  <c r="D76" i="1"/>
  <c r="D75" i="1"/>
  <c r="D74" i="1"/>
  <c r="D71" i="1"/>
  <c r="D70" i="1"/>
  <c r="D69" i="1"/>
  <c r="D68" i="1"/>
  <c r="D67" i="1"/>
  <c r="D66" i="1"/>
  <c r="D65" i="1"/>
  <c r="D64" i="1"/>
  <c r="D63" i="1"/>
  <c r="D62" i="1"/>
  <c r="D61" i="1"/>
  <c r="D60" i="1"/>
  <c r="D58" i="1"/>
  <c r="D57" i="1"/>
  <c r="D56" i="1"/>
  <c r="D55" i="1"/>
  <c r="D52" i="1"/>
  <c r="D51" i="1"/>
  <c r="D50" i="1"/>
  <c r="D49" i="1"/>
  <c r="D48" i="1"/>
  <c r="D47" i="1"/>
  <c r="D46" i="1"/>
  <c r="D45" i="1"/>
  <c r="D44" i="1"/>
  <c r="D43" i="1"/>
  <c r="D41" i="1"/>
  <c r="D39" i="1"/>
  <c r="D38" i="1"/>
  <c r="D37" i="1"/>
  <c r="D36" i="1"/>
  <c r="D34" i="1"/>
  <c r="D33" i="1"/>
  <c r="D32" i="1"/>
  <c r="D31" i="1"/>
  <c r="D30" i="1"/>
  <c r="D29" i="1"/>
  <c r="D28" i="1"/>
  <c r="D26" i="1"/>
  <c r="D23" i="1"/>
  <c r="D21" i="1"/>
  <c r="D20" i="1"/>
  <c r="D19" i="1"/>
  <c r="D17" i="1"/>
  <c r="D16" i="1"/>
  <c r="D13" i="1"/>
  <c r="D12" i="1"/>
  <c r="O11" i="1"/>
  <c r="D11" i="1"/>
  <c r="D10" i="1"/>
  <c r="D9" i="1"/>
  <c r="D8" i="1"/>
  <c r="D7" i="1"/>
  <c r="O6" i="1"/>
  <c r="D6" i="1"/>
  <c r="O167" i="1" l="1"/>
  <c r="O15" i="1"/>
  <c r="O155" i="1"/>
  <c r="D197" i="1"/>
</calcChain>
</file>

<file path=xl/sharedStrings.xml><?xml version="1.0" encoding="utf-8"?>
<sst xmlns="http://schemas.openxmlformats.org/spreadsheetml/2006/main" count="211" uniqueCount="197">
  <si>
    <t xml:space="preserve">Product </t>
  </si>
  <si>
    <t xml:space="preserve">Quanitiy </t>
  </si>
  <si>
    <t>Price</t>
  </si>
  <si>
    <t>Total on hand</t>
  </si>
  <si>
    <t>Spirits</t>
  </si>
  <si>
    <t>Spirits Amount Calculator</t>
  </si>
  <si>
    <t>Vodka</t>
  </si>
  <si>
    <t>Servings</t>
  </si>
  <si>
    <t>Sold This Week</t>
  </si>
  <si>
    <t>Amount Per Week</t>
  </si>
  <si>
    <t>Ciroc Original 70cl</t>
  </si>
  <si>
    <t>25ml - Single</t>
  </si>
  <si>
    <t>Ciroc Mango 70cl</t>
  </si>
  <si>
    <t>Ciroc Apple 70cl</t>
  </si>
  <si>
    <t>Ciroc Summer Citrus 70cl</t>
  </si>
  <si>
    <t>Absolut  Raspberry 70cl</t>
  </si>
  <si>
    <t>Checkov Cheap Ass Vodka 1.5ltr</t>
  </si>
  <si>
    <t>50ml - Double</t>
  </si>
  <si>
    <t>3 Wheel Vodka</t>
  </si>
  <si>
    <t>Smirnoff Red 70cl</t>
  </si>
  <si>
    <t>Total</t>
  </si>
  <si>
    <t>Rum</t>
  </si>
  <si>
    <t>Captain Morgan Spiced Gold - 70cl</t>
  </si>
  <si>
    <t>Bacardi White - 70cl</t>
  </si>
  <si>
    <t>Havana Club 3 Year Special - 70cl</t>
  </si>
  <si>
    <t>Lamb’s Navy - 70cl</t>
  </si>
  <si>
    <t>Malibu - 70cl</t>
  </si>
  <si>
    <t>Swift Nick Rum</t>
  </si>
  <si>
    <t>Gin</t>
  </si>
  <si>
    <t>Gordons Original London Dry 70cl</t>
  </si>
  <si>
    <t>Hendricks - 70cl</t>
  </si>
  <si>
    <t>3 Wheel Gins</t>
  </si>
  <si>
    <t>Whitley Neil Gin - london dry</t>
  </si>
  <si>
    <t>Whitley Neil Gin - flavoured</t>
  </si>
  <si>
    <t>Gordons Flavoured 70cl</t>
  </si>
  <si>
    <t>Whiskey/Brandy</t>
  </si>
  <si>
    <t>JD - x 70cl</t>
  </si>
  <si>
    <t>JD - Fire x 70cl</t>
  </si>
  <si>
    <t>JD Honey</t>
  </si>
  <si>
    <t>Jameson - 0.8 x 70cl</t>
  </si>
  <si>
    <t>Johnnie walker Red 1ltr</t>
  </si>
  <si>
    <t>Loch Lomond - 1 x 70cl</t>
  </si>
  <si>
    <t>Buffalo Trace - 0.8 x 70cl</t>
  </si>
  <si>
    <t>Southern Comfort - 70cl</t>
  </si>
  <si>
    <t>Dalmeny Centenary Blend</t>
  </si>
  <si>
    <t>Glenmorangie</t>
  </si>
  <si>
    <t>Famous Grouse Whiskey</t>
  </si>
  <si>
    <t>Courvoisier - Cognac</t>
  </si>
  <si>
    <t>Jules Clarion Brandy - 70cl</t>
  </si>
  <si>
    <t>Liqour 43</t>
  </si>
  <si>
    <t>Shots</t>
  </si>
  <si>
    <t>Jose Cuervo Silver Tequila - 1.9 x 70cl</t>
  </si>
  <si>
    <t>Tiburtina White Sambuca - 0.8 x 70cl</t>
  </si>
  <si>
    <t>Antica Black Sambuca - 1x 70cl</t>
  </si>
  <si>
    <t>Messer Schmitt (Jäger) - 1.3 x 70cl</t>
  </si>
  <si>
    <t>Jagermeister 70cl</t>
  </si>
  <si>
    <t>Baileys - 0.5 x 70cl</t>
  </si>
  <si>
    <t>Passini Liqour</t>
  </si>
  <si>
    <t>Tequila Rose - 70cl</t>
  </si>
  <si>
    <t>Lemoncello</t>
  </si>
  <si>
    <t>Kahlua - x 70cl</t>
  </si>
  <si>
    <t>Harveys Sherry</t>
  </si>
  <si>
    <t>Disaronno Amaretto x 70cl</t>
  </si>
  <si>
    <t>Archers x 70cl</t>
  </si>
  <si>
    <t>3 Wheel Cellos</t>
  </si>
  <si>
    <t>Sombrero Tequila liq.</t>
  </si>
  <si>
    <t>2 Rivers Spirits/Wines</t>
  </si>
  <si>
    <t>Syrups</t>
  </si>
  <si>
    <t>Grenadine - 1.7 x 70cl</t>
  </si>
  <si>
    <t>Grenadine Monin 4x1l</t>
  </si>
  <si>
    <t>Wine:</t>
  </si>
  <si>
    <t>Red</t>
  </si>
  <si>
    <t>Muddy Boots Shiraz x 75cl</t>
  </si>
  <si>
    <t>Chilnero Merlot x 75cl</t>
  </si>
  <si>
    <t>Wine Amount Calculator</t>
  </si>
  <si>
    <t>White</t>
  </si>
  <si>
    <t>175ml - Medium</t>
  </si>
  <si>
    <t>South Island Sauvignon Blanc x 75cl</t>
  </si>
  <si>
    <t>Alpino Pinot Grigio 75cl</t>
  </si>
  <si>
    <t>Afrikan Chenin Blanc</t>
  </si>
  <si>
    <t>Rose</t>
  </si>
  <si>
    <t>Discovery Beach White Zinfandel (Rose) x 75cl</t>
  </si>
  <si>
    <t>Alpino Pinot Blush (Rose) x 75cl</t>
  </si>
  <si>
    <t>Sparkling-</t>
  </si>
  <si>
    <t>Cantina Garda Prosecco (White) x 75cl</t>
  </si>
  <si>
    <t>Cantina Garda Prosecco (Rose) x 75cl</t>
  </si>
  <si>
    <t>Cantina Garda Spumante x 75cl</t>
  </si>
  <si>
    <t>125ml - Glass</t>
  </si>
  <si>
    <t>Soft Drinks/Mixers-</t>
  </si>
  <si>
    <t>Britvic Orange Cordial - 0.7 x 1ltr</t>
  </si>
  <si>
    <t>Britvic Blackcurrant Cordial - 0.2 x 1ltr</t>
  </si>
  <si>
    <t>Britvic Lime Cordial - 11.1 x 1ltr</t>
  </si>
  <si>
    <t>Energy Drink Big bottles</t>
  </si>
  <si>
    <t xml:space="preserve">Fruit Shoot Apple and Blackcurrant </t>
  </si>
  <si>
    <t>Fruit Shoot Orange</t>
  </si>
  <si>
    <t>J20 (Bottles)</t>
  </si>
  <si>
    <t>Fentimans Ginger Beer (Bottle 275ml)</t>
  </si>
  <si>
    <t>Fevertree Cocktail Mix</t>
  </si>
  <si>
    <t>PET water bottles</t>
  </si>
  <si>
    <t>Soft Drink Cans TREAT DAY</t>
  </si>
  <si>
    <t>Canned/Bottled</t>
  </si>
  <si>
    <t>Guinness (Pint Can)</t>
  </si>
  <si>
    <t>Guinness 0% (Pint Can)</t>
  </si>
  <si>
    <t>Old Mout Cider</t>
  </si>
  <si>
    <t>Erdinger 0% (Bottle 500ml)</t>
  </si>
  <si>
    <t>Thatchers 0% (Bottle 500ml)</t>
  </si>
  <si>
    <t>Amstel Cans TREAT DAY</t>
  </si>
  <si>
    <t>Alc Free (330ml can)</t>
  </si>
  <si>
    <t>LUNEBREW CANS  (440ml Can)</t>
  </si>
  <si>
    <t>Corona Bottles 330ml</t>
  </si>
  <si>
    <t>Vodka Cans TREAT DAY</t>
  </si>
  <si>
    <t>Ascension Pilot can</t>
  </si>
  <si>
    <t>Ascension Wrath Can</t>
  </si>
  <si>
    <t>Ascension Shimmy Can</t>
  </si>
  <si>
    <t>Cask-</t>
  </si>
  <si>
    <t>Lunebrew: Lune Valley Gold</t>
  </si>
  <si>
    <t>Cask Calculator</t>
  </si>
  <si>
    <t>LuneBrew: Pale Ale</t>
  </si>
  <si>
    <t>Serving</t>
  </si>
  <si>
    <t>LuneBrew: Bitter</t>
  </si>
  <si>
    <t>Half</t>
  </si>
  <si>
    <t>Pint</t>
  </si>
  <si>
    <t>Guest</t>
  </si>
  <si>
    <t>Stein</t>
  </si>
  <si>
    <t>LuneBrew: Stout 8 Malt</t>
  </si>
  <si>
    <t>LuneBrew: Centennial Summer</t>
  </si>
  <si>
    <t>Draught-</t>
  </si>
  <si>
    <t>Lunebrew: Session IPA</t>
  </si>
  <si>
    <t>Keg Calculator</t>
  </si>
  <si>
    <t>Lunebrew:Pale (30ltr)</t>
  </si>
  <si>
    <t>Lunebrew/Guest (30ltr)</t>
  </si>
  <si>
    <t>Apple Cider 50ltr</t>
  </si>
  <si>
    <t>LuneBrew: Caravan of Love</t>
  </si>
  <si>
    <t>Stowford press</t>
  </si>
  <si>
    <t>Alcohol Free: ?</t>
  </si>
  <si>
    <t>Delerium Red</t>
  </si>
  <si>
    <t>Paulaner Lager 50ltr</t>
  </si>
  <si>
    <t>Sea salt Lime lager</t>
  </si>
  <si>
    <t>Bud Light Keg</t>
  </si>
  <si>
    <t>Accidental Guest (30ltr)</t>
  </si>
  <si>
    <t>Becks Vier Keg</t>
  </si>
  <si>
    <t>Murphys stout</t>
  </si>
  <si>
    <t>UTILJE juicy Lucy/bird of prey</t>
  </si>
  <si>
    <t xml:space="preserve">Postmix - NEED TO ORDER </t>
  </si>
  <si>
    <t>7l Coke</t>
  </si>
  <si>
    <t>9l Tonic</t>
  </si>
  <si>
    <t>13l Lemonade</t>
  </si>
  <si>
    <t>15l Diet coke</t>
  </si>
  <si>
    <t>Snacks</t>
  </si>
  <si>
    <t>Bacon Fries</t>
  </si>
  <si>
    <t>Crisps (Seabrooks)</t>
  </si>
  <si>
    <t>Nobbys Nuts - Salted</t>
  </si>
  <si>
    <t>Nobbys Nuts - Dry Roasted</t>
  </si>
  <si>
    <t>Nobbys Nuts - Sweet Chilli</t>
  </si>
  <si>
    <t>Pork Scratchings</t>
  </si>
  <si>
    <t>TOTAL CASH AMOUNT OF STOCK HELD</t>
  </si>
  <si>
    <t>Aperol</t>
  </si>
  <si>
    <t>Montanya Rum</t>
  </si>
  <si>
    <t>Fireball Liqour</t>
  </si>
  <si>
    <t>Valdemoreda Macabeo</t>
  </si>
  <si>
    <t>Poggio Alto Pinot Grigio</t>
  </si>
  <si>
    <t>Featherdrop NZ Sauvignon Blanc</t>
  </si>
  <si>
    <t>Golden State Zinfandel</t>
  </si>
  <si>
    <t>Poggio Alto Pinot Blush (rose)</t>
  </si>
  <si>
    <t>Casa De Flores Merlot</t>
  </si>
  <si>
    <t>Finca La Colonia Malbec</t>
  </si>
  <si>
    <t xml:space="preserve">Serena 1881 Prosecco </t>
  </si>
  <si>
    <t>Serena 1881 Rose Prosecco</t>
  </si>
  <si>
    <t>Serena 1881 Spumante</t>
  </si>
  <si>
    <t>Kulana Apple Juice</t>
  </si>
  <si>
    <t>Kulana Cranberry Juice - x 1ltr</t>
  </si>
  <si>
    <t>Kulana Orange Juice - x 1ltr</t>
  </si>
  <si>
    <t>Baby Iris A/F Neipa 440ml</t>
  </si>
  <si>
    <t>Lowkey Pale A/F 440ml</t>
  </si>
  <si>
    <t>Vandestreek A/F IPA 330ml</t>
  </si>
  <si>
    <t>Vandestreek A/F Neipa 330ml</t>
  </si>
  <si>
    <t xml:space="preserve">Drop Bear A/F Lager 330ml </t>
  </si>
  <si>
    <t>LuneBrew: Session IPA</t>
  </si>
  <si>
    <t>Lunebrew Mango Madness</t>
  </si>
  <si>
    <t>Diablese Rum - 70cl</t>
  </si>
  <si>
    <t>LuneBrew: Swoop</t>
  </si>
  <si>
    <t>Lunebrew: Mango Madness (30ltr)</t>
  </si>
  <si>
    <t>LuneBrew: Sleeping Elephants</t>
  </si>
  <si>
    <t>LuneBrew: Swoop (30ltr)</t>
  </si>
  <si>
    <t>Stock: 01.11.2025 (current amount of stock)</t>
  </si>
  <si>
    <t>Smirnoff 1.5L</t>
  </si>
  <si>
    <t>Malibu - 1L</t>
  </si>
  <si>
    <t>Jameson Irish - 40% 70cl</t>
  </si>
  <si>
    <t>R&amp;R Prosecco 24x200ml</t>
  </si>
  <si>
    <t>Guinness 440ml can</t>
  </si>
  <si>
    <t>Hooch Lemon can</t>
  </si>
  <si>
    <t>Ilkley swao</t>
  </si>
  <si>
    <t>Lunebrew: Bine &amp; Dandy (30ltr)</t>
  </si>
  <si>
    <t>LuneBrew: Amarillo</t>
  </si>
  <si>
    <t>LuneBrew: Caked</t>
  </si>
  <si>
    <t>LuneBrew: Bine &amp; Dandy</t>
  </si>
  <si>
    <t>Captain Morgan DARK - 70cl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</si>
</sst>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#,##0.0000"/>
    <numFmt numFmtId="166" formatCode="#,##0.0"/>
    <numFmt numFmtId="167" formatCode="[$£-809]#,##0.00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FFFFFF"/>
      <name val="Arial"/>
    </font>
    <font>
      <b/>
      <u/>
      <sz val="10"/>
      <color theme="1"/>
      <name val="Arial"/>
    </font>
    <font>
      <sz val="10"/>
      <name val="Arial"/>
    </font>
    <font>
      <sz val="11"/>
      <color theme="1"/>
      <name val="Arial"/>
    </font>
    <font>
      <sz val="10"/>
      <color rgb="FF000000"/>
      <name val="Arial"/>
    </font>
  </fonts>
  <fills count="2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DD7E6B"/>
        <bgColor rgb="FFDD7E6B"/>
      </patternFill>
    </fill>
    <fill>
      <patternFill patternType="solid">
        <fgColor rgb="FFC27BA0"/>
        <bgColor rgb="FFC27BA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6FA8DC"/>
        <bgColor rgb="FF6FA8DC"/>
      </patternFill>
    </fill>
    <fill>
      <patternFill patternType="solid">
        <fgColor rgb="FFE69138"/>
        <bgColor rgb="FFE69138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F941D2"/>
        <bgColor rgb="FFF941D2"/>
      </patternFill>
    </fill>
    <fill>
      <patternFill patternType="solid">
        <fgColor rgb="FFD5A6BD"/>
        <bgColor rgb="FFD5A6B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1" xfId="0" applyFont="1" applyFill="1" applyBorder="1"/>
    <xf numFmtId="0" fontId="2" fillId="4" borderId="1" xfId="0" applyFont="1" applyFill="1" applyBorder="1"/>
    <xf numFmtId="0" fontId="2" fillId="4" borderId="4" xfId="0" applyFont="1" applyFill="1" applyBorder="1"/>
    <xf numFmtId="0" fontId="2" fillId="3" borderId="3" xfId="0" applyFont="1" applyFill="1" applyBorder="1"/>
    <xf numFmtId="0" fontId="2" fillId="5" borderId="7" xfId="0" applyFont="1" applyFill="1" applyBorder="1"/>
    <xf numFmtId="0" fontId="2" fillId="5" borderId="8" xfId="0" applyFont="1" applyFill="1" applyBorder="1"/>
    <xf numFmtId="0" fontId="1" fillId="4" borderId="1" xfId="0" applyFont="1" applyFill="1" applyBorder="1"/>
    <xf numFmtId="2" fontId="2" fillId="4" borderId="1" xfId="0" applyNumberFormat="1" applyFont="1" applyFill="1" applyBorder="1" applyAlignment="1">
      <alignment horizontal="right"/>
    </xf>
    <xf numFmtId="2" fontId="2" fillId="4" borderId="4" xfId="0" applyNumberFormat="1" applyFont="1" applyFill="1" applyBorder="1" applyAlignment="1">
      <alignment horizontal="right"/>
    </xf>
    <xf numFmtId="4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0" fontId="2" fillId="5" borderId="8" xfId="0" applyFont="1" applyFill="1" applyBorder="1" applyAlignment="1">
      <alignment horizontal="right"/>
    </xf>
    <xf numFmtId="0" fontId="2" fillId="0" borderId="1" xfId="0" applyFont="1" applyBorder="1"/>
    <xf numFmtId="2" fontId="2" fillId="0" borderId="1" xfId="0" applyNumberFormat="1" applyFont="1" applyBorder="1"/>
    <xf numFmtId="2" fontId="2" fillId="0" borderId="4" xfId="0" applyNumberFormat="1" applyFont="1" applyBorder="1" applyAlignment="1">
      <alignment horizontal="right"/>
    </xf>
    <xf numFmtId="0" fontId="1" fillId="6" borderId="1" xfId="0" applyFont="1" applyFill="1" applyBorder="1"/>
    <xf numFmtId="2" fontId="2" fillId="6" borderId="1" xfId="0" applyNumberFormat="1" applyFont="1" applyFill="1" applyBorder="1"/>
    <xf numFmtId="2" fontId="2" fillId="6" borderId="4" xfId="0" applyNumberFormat="1" applyFont="1" applyFill="1" applyBorder="1" applyAlignment="1">
      <alignment horizontal="right"/>
    </xf>
    <xf numFmtId="2" fontId="2" fillId="6" borderId="1" xfId="0" applyNumberFormat="1" applyFont="1" applyFill="1" applyBorder="1" applyAlignment="1">
      <alignment horizontal="right"/>
    </xf>
    <xf numFmtId="0" fontId="1" fillId="7" borderId="1" xfId="0" applyFont="1" applyFill="1" applyBorder="1"/>
    <xf numFmtId="2" fontId="2" fillId="7" borderId="1" xfId="0" applyNumberFormat="1" applyFont="1" applyFill="1" applyBorder="1"/>
    <xf numFmtId="2" fontId="2" fillId="7" borderId="4" xfId="0" applyNumberFormat="1" applyFont="1" applyFill="1" applyBorder="1" applyAlignment="1">
      <alignment horizontal="right"/>
    </xf>
    <xf numFmtId="2" fontId="2" fillId="7" borderId="1" xfId="0" applyNumberFormat="1" applyFont="1" applyFill="1" applyBorder="1" applyAlignment="1">
      <alignment horizontal="right"/>
    </xf>
    <xf numFmtId="0" fontId="1" fillId="8" borderId="1" xfId="0" applyFont="1" applyFill="1" applyBorder="1"/>
    <xf numFmtId="2" fontId="2" fillId="8" borderId="1" xfId="0" applyNumberFormat="1" applyFont="1" applyFill="1" applyBorder="1"/>
    <xf numFmtId="2" fontId="2" fillId="8" borderId="4" xfId="0" applyNumberFormat="1" applyFont="1" applyFill="1" applyBorder="1" applyAlignment="1">
      <alignment horizontal="right"/>
    </xf>
    <xf numFmtId="2" fontId="2" fillId="8" borderId="1" xfId="0" applyNumberFormat="1" applyFont="1" applyFill="1" applyBorder="1" applyAlignment="1">
      <alignment horizontal="right"/>
    </xf>
    <xf numFmtId="0" fontId="1" fillId="9" borderId="1" xfId="0" applyFont="1" applyFill="1" applyBorder="1"/>
    <xf numFmtId="2" fontId="2" fillId="9" borderId="1" xfId="0" applyNumberFormat="1" applyFont="1" applyFill="1" applyBorder="1"/>
    <xf numFmtId="2" fontId="2" fillId="9" borderId="4" xfId="0" applyNumberFormat="1" applyFont="1" applyFill="1" applyBorder="1" applyAlignment="1">
      <alignment horizontal="right"/>
    </xf>
    <xf numFmtId="2" fontId="2" fillId="9" borderId="1" xfId="0" applyNumberFormat="1" applyFont="1" applyFill="1" applyBorder="1" applyAlignment="1">
      <alignment horizontal="right"/>
    </xf>
    <xf numFmtId="0" fontId="1" fillId="10" borderId="1" xfId="0" applyFont="1" applyFill="1" applyBorder="1"/>
    <xf numFmtId="2" fontId="2" fillId="10" borderId="1" xfId="0" applyNumberFormat="1" applyFont="1" applyFill="1" applyBorder="1"/>
    <xf numFmtId="2" fontId="2" fillId="10" borderId="4" xfId="0" applyNumberFormat="1" applyFont="1" applyFill="1" applyBorder="1" applyAlignment="1">
      <alignment horizontal="right"/>
    </xf>
    <xf numFmtId="2" fontId="2" fillId="10" borderId="1" xfId="0" applyNumberFormat="1" applyFont="1" applyFill="1" applyBorder="1" applyAlignment="1">
      <alignment horizontal="right"/>
    </xf>
    <xf numFmtId="0" fontId="1" fillId="0" borderId="1" xfId="0" applyFont="1" applyBorder="1"/>
    <xf numFmtId="0" fontId="1" fillId="11" borderId="1" xfId="0" applyFont="1" applyFill="1" applyBorder="1"/>
    <xf numFmtId="2" fontId="2" fillId="11" borderId="1" xfId="0" applyNumberFormat="1" applyFont="1" applyFill="1" applyBorder="1"/>
    <xf numFmtId="2" fontId="2" fillId="11" borderId="4" xfId="0" applyNumberFormat="1" applyFont="1" applyFill="1" applyBorder="1" applyAlignment="1">
      <alignment horizontal="right"/>
    </xf>
    <xf numFmtId="2" fontId="2" fillId="11" borderId="1" xfId="0" applyNumberFormat="1" applyFont="1" applyFill="1" applyBorder="1" applyAlignment="1">
      <alignment horizontal="right"/>
    </xf>
    <xf numFmtId="0" fontId="1" fillId="3" borderId="1" xfId="0" applyFont="1" applyFill="1" applyBorder="1"/>
    <xf numFmtId="2" fontId="2" fillId="0" borderId="1" xfId="0" applyNumberFormat="1" applyFont="1" applyBorder="1" applyAlignment="1">
      <alignment horizontal="right"/>
    </xf>
    <xf numFmtId="0" fontId="2" fillId="12" borderId="1" xfId="0" applyFont="1" applyFill="1" applyBorder="1"/>
    <xf numFmtId="0" fontId="1" fillId="13" borderId="1" xfId="0" applyFont="1" applyFill="1" applyBorder="1"/>
    <xf numFmtId="2" fontId="2" fillId="13" borderId="1" xfId="0" applyNumberFormat="1" applyFont="1" applyFill="1" applyBorder="1" applyAlignment="1">
      <alignment horizontal="right"/>
    </xf>
    <xf numFmtId="2" fontId="2" fillId="13" borderId="4" xfId="0" applyNumberFormat="1" applyFont="1" applyFill="1" applyBorder="1" applyAlignment="1">
      <alignment horizontal="right"/>
    </xf>
    <xf numFmtId="0" fontId="2" fillId="12" borderId="0" xfId="0" applyFont="1" applyFill="1"/>
    <xf numFmtId="0" fontId="1" fillId="12" borderId="1" xfId="0" applyFont="1" applyFill="1" applyBorder="1"/>
    <xf numFmtId="2" fontId="2" fillId="12" borderId="1" xfId="0" applyNumberFormat="1" applyFont="1" applyFill="1" applyBorder="1" applyAlignment="1">
      <alignment horizontal="right"/>
    </xf>
    <xf numFmtId="2" fontId="2" fillId="12" borderId="4" xfId="0" applyNumberFormat="1" applyFont="1" applyFill="1" applyBorder="1" applyAlignment="1">
      <alignment horizontal="right"/>
    </xf>
    <xf numFmtId="0" fontId="1" fillId="14" borderId="1" xfId="0" applyFont="1" applyFill="1" applyBorder="1"/>
    <xf numFmtId="2" fontId="2" fillId="14" borderId="1" xfId="0" applyNumberFormat="1" applyFont="1" applyFill="1" applyBorder="1"/>
    <xf numFmtId="2" fontId="2" fillId="14" borderId="4" xfId="0" applyNumberFormat="1" applyFont="1" applyFill="1" applyBorder="1" applyAlignment="1">
      <alignment horizontal="right"/>
    </xf>
    <xf numFmtId="2" fontId="2" fillId="14" borderId="1" xfId="0" applyNumberFormat="1" applyFont="1" applyFill="1" applyBorder="1" applyAlignment="1">
      <alignment horizontal="right"/>
    </xf>
    <xf numFmtId="0" fontId="2" fillId="15" borderId="1" xfId="0" applyFont="1" applyFill="1" applyBorder="1" applyAlignment="1">
      <alignment horizontal="center"/>
    </xf>
    <xf numFmtId="0" fontId="2" fillId="15" borderId="1" xfId="0" applyFont="1" applyFill="1" applyBorder="1"/>
    <xf numFmtId="0" fontId="1" fillId="16" borderId="1" xfId="0" applyFont="1" applyFill="1" applyBorder="1"/>
    <xf numFmtId="2" fontId="2" fillId="16" borderId="1" xfId="0" applyNumberFormat="1" applyFont="1" applyFill="1" applyBorder="1"/>
    <xf numFmtId="2" fontId="2" fillId="16" borderId="4" xfId="0" applyNumberFormat="1" applyFont="1" applyFill="1" applyBorder="1" applyAlignment="1">
      <alignment horizontal="right"/>
    </xf>
    <xf numFmtId="2" fontId="2" fillId="16" borderId="1" xfId="0" applyNumberFormat="1" applyFont="1" applyFill="1" applyBorder="1" applyAlignment="1">
      <alignment horizontal="right"/>
    </xf>
    <xf numFmtId="166" fontId="2" fillId="0" borderId="0" xfId="0" applyNumberFormat="1" applyFont="1"/>
    <xf numFmtId="0" fontId="1" fillId="17" borderId="1" xfId="0" applyFont="1" applyFill="1" applyBorder="1"/>
    <xf numFmtId="2" fontId="2" fillId="17" borderId="1" xfId="0" applyNumberFormat="1" applyFont="1" applyFill="1" applyBorder="1"/>
    <xf numFmtId="2" fontId="2" fillId="17" borderId="4" xfId="0" applyNumberFormat="1" applyFont="1" applyFill="1" applyBorder="1" applyAlignment="1">
      <alignment horizontal="right"/>
    </xf>
    <xf numFmtId="2" fontId="2" fillId="17" borderId="1" xfId="0" applyNumberFormat="1" applyFont="1" applyFill="1" applyBorder="1" applyAlignment="1">
      <alignment horizontal="right"/>
    </xf>
    <xf numFmtId="0" fontId="1" fillId="18" borderId="1" xfId="0" applyFont="1" applyFill="1" applyBorder="1"/>
    <xf numFmtId="2" fontId="2" fillId="18" borderId="1" xfId="0" applyNumberFormat="1" applyFont="1" applyFill="1" applyBorder="1"/>
    <xf numFmtId="2" fontId="2" fillId="18" borderId="1" xfId="0" applyNumberFormat="1" applyFont="1" applyFill="1" applyBorder="1" applyAlignment="1">
      <alignment horizontal="right"/>
    </xf>
    <xf numFmtId="2" fontId="2" fillId="18" borderId="4" xfId="0" applyNumberFormat="1" applyFont="1" applyFill="1" applyBorder="1" applyAlignment="1">
      <alignment horizontal="right"/>
    </xf>
    <xf numFmtId="0" fontId="2" fillId="19" borderId="1" xfId="0" applyFont="1" applyFill="1" applyBorder="1"/>
    <xf numFmtId="0" fontId="6" fillId="19" borderId="1" xfId="0" applyFont="1" applyFill="1" applyBorder="1"/>
    <xf numFmtId="0" fontId="2" fillId="19" borderId="0" xfId="0" applyFont="1" applyFill="1"/>
    <xf numFmtId="0" fontId="1" fillId="20" borderId="1" xfId="0" applyFont="1" applyFill="1" applyBorder="1"/>
    <xf numFmtId="2" fontId="2" fillId="20" borderId="1" xfId="0" applyNumberFormat="1" applyFont="1" applyFill="1" applyBorder="1"/>
    <xf numFmtId="2" fontId="2" fillId="20" borderId="1" xfId="0" applyNumberFormat="1" applyFont="1" applyFill="1" applyBorder="1" applyAlignment="1">
      <alignment horizontal="right"/>
    </xf>
    <xf numFmtId="2" fontId="2" fillId="20" borderId="4" xfId="0" applyNumberFormat="1" applyFont="1" applyFill="1" applyBorder="1" applyAlignment="1">
      <alignment horizontal="right"/>
    </xf>
    <xf numFmtId="0" fontId="2" fillId="20" borderId="1" xfId="0" applyFont="1" applyFill="1" applyBorder="1"/>
    <xf numFmtId="0" fontId="2" fillId="20" borderId="1" xfId="0" applyFont="1" applyFill="1" applyBorder="1" applyAlignment="1">
      <alignment horizontal="center"/>
    </xf>
    <xf numFmtId="0" fontId="2" fillId="3" borderId="0" xfId="0" applyFont="1" applyFill="1"/>
    <xf numFmtId="0" fontId="1" fillId="21" borderId="1" xfId="0" applyFont="1" applyFill="1" applyBorder="1"/>
    <xf numFmtId="2" fontId="2" fillId="21" borderId="1" xfId="0" applyNumberFormat="1" applyFont="1" applyFill="1" applyBorder="1"/>
    <xf numFmtId="2" fontId="2" fillId="21" borderId="1" xfId="0" applyNumberFormat="1" applyFont="1" applyFill="1" applyBorder="1" applyAlignment="1">
      <alignment horizontal="right"/>
    </xf>
    <xf numFmtId="2" fontId="2" fillId="21" borderId="4" xfId="0" applyNumberFormat="1" applyFont="1" applyFill="1" applyBorder="1" applyAlignment="1">
      <alignment horizontal="right"/>
    </xf>
    <xf numFmtId="2" fontId="2" fillId="0" borderId="0" xfId="0" applyNumberFormat="1" applyFont="1"/>
    <xf numFmtId="0" fontId="2" fillId="22" borderId="8" xfId="0" applyFont="1" applyFill="1" applyBorder="1"/>
    <xf numFmtId="2" fontId="2" fillId="22" borderId="7" xfId="0" applyNumberFormat="1" applyFont="1" applyFill="1" applyBorder="1"/>
    <xf numFmtId="0" fontId="2" fillId="22" borderId="6" xfId="0" applyFont="1" applyFill="1" applyBorder="1"/>
    <xf numFmtId="2" fontId="2" fillId="22" borderId="1" xfId="0" applyNumberFormat="1" applyFont="1" applyFill="1" applyBorder="1"/>
    <xf numFmtId="2" fontId="2" fillId="22" borderId="4" xfId="0" applyNumberFormat="1" applyFont="1" applyFill="1" applyBorder="1" applyAlignment="1">
      <alignment horizontal="right"/>
    </xf>
    <xf numFmtId="0" fontId="7" fillId="22" borderId="9" xfId="0" applyFont="1" applyFill="1" applyBorder="1" applyAlignment="1">
      <alignment horizontal="left"/>
    </xf>
    <xf numFmtId="2" fontId="2" fillId="22" borderId="10" xfId="0" applyNumberFormat="1" applyFont="1" applyFill="1" applyBorder="1"/>
    <xf numFmtId="167" fontId="2" fillId="5" borderId="0" xfId="0" applyNumberFormat="1" applyFont="1" applyFill="1"/>
    <xf numFmtId="0" fontId="2" fillId="5" borderId="4" xfId="0" applyFont="1" applyFill="1" applyBorder="1" applyAlignment="1">
      <alignment horizontal="center"/>
    </xf>
    <xf numFmtId="0" fontId="5" fillId="0" borderId="5" xfId="0" applyFont="1" applyBorder="1"/>
    <xf numFmtId="0" fontId="5" fillId="0" borderId="6" xfId="0" applyFont="1" applyBorder="1"/>
    <xf numFmtId="0" fontId="2" fillId="12" borderId="4" xfId="0" applyFont="1" applyFill="1" applyBorder="1" applyAlignment="1">
      <alignment horizontal="center"/>
    </xf>
    <xf numFmtId="0" fontId="2" fillId="19" borderId="4" xfId="0" applyFont="1" applyFill="1" applyBorder="1" applyAlignment="1">
      <alignment horizontal="center"/>
    </xf>
    <xf numFmtId="0" fontId="2" fillId="20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1031"/>
  <sheetViews>
    <sheetView tabSelected="1" topLeftCell="A9" workbookViewId="0">
      <selection activeCell="D9" sqref="D9"/>
    </sheetView>
  </sheetViews>
  <sheetFormatPr defaultColWidth="12.54296875" defaultRowHeight="15" customHeight="1" x14ac:dyDescent="0.25"/>
  <cols>
    <col min="1" max="1" width="42.54296875" customWidth="1"/>
    <col min="2" max="4" width="12.54296875" customWidth="1"/>
    <col min="5" max="5" width="10.81640625" customWidth="1"/>
    <col min="6" max="6" width="18.81640625" customWidth="1"/>
    <col min="9" max="9" width="11.81640625" customWidth="1"/>
    <col min="10" max="10" width="15.1796875" customWidth="1"/>
    <col min="11" max="12" width="12.54296875" customWidth="1"/>
    <col min="13" max="13" width="14.453125" customWidth="1"/>
    <col min="15" max="15" width="14.7265625" customWidth="1"/>
  </cols>
  <sheetData>
    <row r="1" spans="1:27" ht="15.75" customHeight="1" x14ac:dyDescent="0.3">
      <c r="A1" s="1" t="s">
        <v>184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 x14ac:dyDescent="0.25">
      <c r="A3" s="3" t="s">
        <v>0</v>
      </c>
      <c r="B3" s="3" t="s">
        <v>1</v>
      </c>
      <c r="C3" s="3" t="s">
        <v>2</v>
      </c>
      <c r="D3" s="4" t="s">
        <v>3</v>
      </c>
      <c r="E3" s="5"/>
      <c r="F3" s="6"/>
      <c r="G3" s="6"/>
      <c r="H3" s="6"/>
      <c r="I3" s="6"/>
      <c r="J3" s="6"/>
      <c r="K3" s="6"/>
      <c r="L3" s="7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7" ht="15.75" customHeight="1" x14ac:dyDescent="0.3">
      <c r="A4" s="8" t="s">
        <v>4</v>
      </c>
      <c r="B4" s="9"/>
      <c r="C4" s="9"/>
      <c r="D4" s="10"/>
      <c r="E4" s="11"/>
      <c r="F4" s="2"/>
      <c r="G4" s="2"/>
      <c r="H4" s="2"/>
      <c r="I4" s="2"/>
      <c r="J4" s="2"/>
      <c r="K4" s="2"/>
      <c r="L4" s="2"/>
      <c r="M4" s="101" t="s">
        <v>5</v>
      </c>
      <c r="N4" s="102"/>
      <c r="O4" s="103"/>
      <c r="P4" s="2"/>
      <c r="Q4" s="2"/>
      <c r="R4" s="2"/>
      <c r="S4" s="2"/>
      <c r="T4" s="2"/>
      <c r="U4" s="2"/>
      <c r="V4" s="2"/>
      <c r="W4" s="2"/>
      <c r="X4" s="2"/>
    </row>
    <row r="5" spans="1:27" ht="15.75" customHeight="1" x14ac:dyDescent="0.3">
      <c r="A5" s="8" t="s">
        <v>6</v>
      </c>
      <c r="B5" s="9"/>
      <c r="C5" s="9"/>
      <c r="D5" s="10"/>
      <c r="E5" s="11"/>
      <c r="F5" s="2"/>
      <c r="G5" s="2"/>
      <c r="H5" s="2"/>
      <c r="I5" s="2"/>
      <c r="J5" s="2"/>
      <c r="K5" s="2"/>
      <c r="L5" s="2"/>
      <c r="M5" s="12" t="s">
        <v>7</v>
      </c>
      <c r="N5" s="13" t="s">
        <v>8</v>
      </c>
      <c r="O5" s="13" t="s">
        <v>9</v>
      </c>
      <c r="P5" s="2"/>
      <c r="Q5" s="2"/>
      <c r="R5" s="2"/>
      <c r="S5" s="2"/>
      <c r="T5" s="2"/>
      <c r="U5" s="2"/>
      <c r="V5" s="2"/>
      <c r="W5" s="2"/>
      <c r="X5" s="2"/>
    </row>
    <row r="6" spans="1:27" ht="15.75" customHeight="1" x14ac:dyDescent="0.3">
      <c r="A6" s="14" t="s">
        <v>10</v>
      </c>
      <c r="B6" s="15">
        <v>0.9</v>
      </c>
      <c r="C6" s="15">
        <v>24.85</v>
      </c>
      <c r="D6" s="16">
        <f t="shared" ref="D6:D14" si="0">SUM(B6*C6)</f>
        <v>22.365000000000002</v>
      </c>
      <c r="E6" s="11"/>
      <c r="F6" s="17"/>
      <c r="G6" s="17"/>
      <c r="H6" s="18"/>
      <c r="I6" s="18"/>
      <c r="J6" s="19"/>
      <c r="K6" s="19"/>
      <c r="L6" s="2"/>
      <c r="M6" s="12" t="s">
        <v>11</v>
      </c>
      <c r="N6" s="13"/>
      <c r="O6" s="20">
        <f>SUM(25/700)*N6</f>
        <v>0</v>
      </c>
      <c r="P6" s="2"/>
      <c r="Q6" s="2"/>
      <c r="R6" s="2"/>
      <c r="S6" s="2"/>
      <c r="T6" s="2"/>
      <c r="U6" s="2"/>
      <c r="V6" s="2"/>
      <c r="W6" s="2"/>
      <c r="X6" s="2"/>
    </row>
    <row r="7" spans="1:27" ht="15.75" customHeight="1" x14ac:dyDescent="0.3">
      <c r="A7" s="14" t="s">
        <v>12</v>
      </c>
      <c r="B7" s="15">
        <v>0.25</v>
      </c>
      <c r="C7" s="15">
        <v>24.85</v>
      </c>
      <c r="D7" s="16">
        <f t="shared" si="0"/>
        <v>6.2125000000000004</v>
      </c>
      <c r="E7" s="11"/>
      <c r="F7" s="17"/>
      <c r="G7" s="17"/>
      <c r="H7" s="18"/>
      <c r="I7" s="18"/>
      <c r="J7" s="19"/>
      <c r="K7" s="19"/>
      <c r="L7" s="2"/>
      <c r="M7" s="12"/>
      <c r="N7" s="13"/>
      <c r="O7" s="20"/>
      <c r="P7" s="2"/>
      <c r="Q7" s="2"/>
      <c r="R7" s="2"/>
      <c r="S7" s="2"/>
      <c r="T7" s="2"/>
      <c r="U7" s="2"/>
      <c r="V7" s="2"/>
      <c r="W7" s="2"/>
      <c r="X7" s="2"/>
    </row>
    <row r="8" spans="1:27" ht="15.75" customHeight="1" x14ac:dyDescent="0.3">
      <c r="A8" s="14" t="s">
        <v>13</v>
      </c>
      <c r="B8" s="15">
        <v>0.25</v>
      </c>
      <c r="C8" s="15">
        <v>16.68</v>
      </c>
      <c r="D8" s="16">
        <f t="shared" si="0"/>
        <v>4.17</v>
      </c>
      <c r="E8" s="11"/>
      <c r="F8" s="17"/>
      <c r="G8" s="17"/>
      <c r="H8" s="18"/>
      <c r="I8" s="18"/>
      <c r="J8" s="19"/>
      <c r="K8" s="19"/>
      <c r="L8" s="2"/>
      <c r="M8" s="12"/>
      <c r="N8" s="13"/>
      <c r="O8" s="20"/>
      <c r="P8" s="2"/>
      <c r="Q8" s="2"/>
      <c r="R8" s="2"/>
      <c r="S8" s="2"/>
      <c r="T8" s="2"/>
      <c r="U8" s="2"/>
      <c r="V8" s="2"/>
      <c r="W8" s="2"/>
      <c r="X8" s="2"/>
    </row>
    <row r="9" spans="1:27" ht="15.75" customHeight="1" x14ac:dyDescent="0.3">
      <c r="A9" s="14" t="s">
        <v>14</v>
      </c>
      <c r="B9" s="15">
        <v>0.25</v>
      </c>
      <c r="C9" s="15">
        <v>24.85</v>
      </c>
      <c r="D9" s="16">
        <f t="shared" si="0"/>
        <v>6.2125000000000004</v>
      </c>
      <c r="E9" s="11"/>
      <c r="F9" s="17"/>
      <c r="G9" s="17"/>
      <c r="H9" s="18"/>
      <c r="I9" s="18"/>
      <c r="J9" s="19"/>
      <c r="K9" s="19"/>
      <c r="L9" s="2"/>
      <c r="M9" s="12"/>
      <c r="N9" s="13"/>
      <c r="O9" s="20"/>
      <c r="P9" s="2"/>
      <c r="Q9" s="2"/>
      <c r="R9" s="2"/>
      <c r="S9" s="2"/>
      <c r="T9" s="2"/>
      <c r="U9" s="2"/>
      <c r="V9" s="2"/>
      <c r="W9" s="2"/>
      <c r="X9" s="2"/>
    </row>
    <row r="10" spans="1:27" ht="15.75" customHeight="1" x14ac:dyDescent="0.3">
      <c r="A10" s="14" t="s">
        <v>15</v>
      </c>
      <c r="B10" s="15">
        <v>1.5</v>
      </c>
      <c r="C10" s="15">
        <v>17.989999999999998</v>
      </c>
      <c r="D10" s="16">
        <f t="shared" si="0"/>
        <v>26.984999999999999</v>
      </c>
      <c r="E10" s="11"/>
      <c r="F10" s="17"/>
      <c r="G10" s="17"/>
      <c r="H10" s="18"/>
      <c r="I10" s="18"/>
      <c r="J10" s="19"/>
      <c r="K10" s="19"/>
      <c r="L10" s="2"/>
      <c r="M10" s="12"/>
      <c r="N10" s="13"/>
      <c r="O10" s="20"/>
      <c r="P10" s="2"/>
      <c r="Q10" s="2"/>
      <c r="R10" s="2"/>
      <c r="S10" s="2"/>
      <c r="T10" s="2"/>
      <c r="U10" s="2"/>
      <c r="V10" s="2"/>
      <c r="W10" s="2"/>
      <c r="X10" s="2"/>
    </row>
    <row r="11" spans="1:27" ht="15.75" customHeight="1" x14ac:dyDescent="0.3">
      <c r="A11" s="14" t="s">
        <v>16</v>
      </c>
      <c r="B11" s="15"/>
      <c r="C11" s="15">
        <v>22.97</v>
      </c>
      <c r="D11" s="16">
        <f t="shared" si="0"/>
        <v>0</v>
      </c>
      <c r="E11" s="11"/>
      <c r="F11" s="17"/>
      <c r="G11" s="17"/>
      <c r="H11" s="17"/>
      <c r="I11" s="18"/>
      <c r="J11" s="19"/>
      <c r="K11" s="19"/>
      <c r="L11" s="2"/>
      <c r="M11" s="12" t="s">
        <v>17</v>
      </c>
      <c r="N11" s="13"/>
      <c r="O11" s="20">
        <f>SUM(50/700)*N11</f>
        <v>0</v>
      </c>
      <c r="P11" s="2"/>
      <c r="Q11" s="2"/>
      <c r="R11" s="2"/>
      <c r="S11" s="2"/>
      <c r="T11" s="2"/>
      <c r="U11" s="2"/>
      <c r="V11" s="2"/>
      <c r="W11" s="2"/>
      <c r="X11" s="2"/>
    </row>
    <row r="12" spans="1:27" ht="15.75" customHeight="1" x14ac:dyDescent="0.3">
      <c r="A12" s="14" t="s">
        <v>18</v>
      </c>
      <c r="B12" s="15"/>
      <c r="C12" s="15">
        <v>23.5</v>
      </c>
      <c r="D12" s="16">
        <f t="shared" si="0"/>
        <v>0</v>
      </c>
      <c r="E12" s="11"/>
      <c r="F12" s="17"/>
      <c r="G12" s="17"/>
      <c r="H12" s="17"/>
      <c r="I12" s="18"/>
      <c r="J12" s="19"/>
      <c r="K12" s="19"/>
      <c r="L12" s="2"/>
      <c r="M12" s="12"/>
      <c r="N12" s="13"/>
      <c r="O12" s="20"/>
      <c r="P12" s="2"/>
      <c r="Q12" s="2"/>
      <c r="R12" s="2"/>
      <c r="S12" s="2"/>
      <c r="T12" s="2"/>
      <c r="U12" s="2"/>
      <c r="V12" s="2"/>
      <c r="W12" s="2"/>
      <c r="X12" s="2"/>
    </row>
    <row r="13" spans="1:27" ht="15.75" customHeight="1" x14ac:dyDescent="0.3">
      <c r="A13" s="14" t="s">
        <v>19</v>
      </c>
      <c r="B13" s="15">
        <v>3.55</v>
      </c>
      <c r="C13" s="15">
        <v>12.99</v>
      </c>
      <c r="D13" s="16">
        <f t="shared" si="0"/>
        <v>46.1145</v>
      </c>
      <c r="E13" s="11"/>
      <c r="F13" s="17"/>
      <c r="G13" s="17"/>
      <c r="H13" s="17"/>
      <c r="I13" s="18"/>
      <c r="J13" s="19"/>
      <c r="K13" s="19"/>
      <c r="L13" s="2"/>
      <c r="M13" s="12"/>
      <c r="N13" s="13"/>
      <c r="O13" s="20"/>
      <c r="P13" s="2"/>
      <c r="Q13" s="2"/>
      <c r="R13" s="2"/>
      <c r="S13" s="2"/>
      <c r="T13" s="2"/>
      <c r="U13" s="2"/>
      <c r="V13" s="2"/>
      <c r="W13" s="2"/>
      <c r="X13" s="2"/>
    </row>
    <row r="14" spans="1:27" ht="15.75" customHeight="1" x14ac:dyDescent="0.3">
      <c r="A14" s="14" t="s">
        <v>185</v>
      </c>
      <c r="B14" s="15">
        <v>3</v>
      </c>
      <c r="C14" s="15">
        <v>28.59</v>
      </c>
      <c r="D14" s="16">
        <f t="shared" si="0"/>
        <v>85.77</v>
      </c>
      <c r="E14" s="11"/>
      <c r="F14" s="17"/>
      <c r="G14" s="17"/>
      <c r="H14" s="17"/>
      <c r="I14" s="18"/>
      <c r="J14" s="19"/>
      <c r="K14" s="19"/>
      <c r="L14" s="2"/>
      <c r="M14" s="12"/>
      <c r="N14" s="13"/>
      <c r="O14" s="20"/>
      <c r="P14" s="2"/>
      <c r="Q14" s="2"/>
      <c r="R14" s="2"/>
      <c r="S14" s="2"/>
      <c r="T14" s="2"/>
      <c r="U14" s="2"/>
      <c r="V14" s="2"/>
      <c r="W14" s="2"/>
      <c r="X14" s="2"/>
    </row>
    <row r="15" spans="1:27" ht="15.75" customHeight="1" x14ac:dyDescent="0.25">
      <c r="A15" s="21"/>
      <c r="B15" s="22"/>
      <c r="C15" s="22"/>
      <c r="D15" s="23"/>
      <c r="E15" s="11"/>
      <c r="F15" s="17"/>
      <c r="G15" s="17"/>
      <c r="H15" s="17"/>
      <c r="I15" s="18"/>
      <c r="J15" s="19"/>
      <c r="K15" s="19"/>
      <c r="L15" s="2"/>
      <c r="M15" s="12"/>
      <c r="N15" s="13" t="s">
        <v>20</v>
      </c>
      <c r="O15" s="20">
        <f>SUM(O6+O11)</f>
        <v>0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 x14ac:dyDescent="0.3">
      <c r="A16" s="24" t="s">
        <v>21</v>
      </c>
      <c r="B16" s="25"/>
      <c r="C16" s="25"/>
      <c r="D16" s="26">
        <f t="shared" ref="D16:D26" si="1">SUM(B16*C16)</f>
        <v>0</v>
      </c>
      <c r="E16" s="11"/>
      <c r="F16" s="17"/>
      <c r="G16" s="17"/>
      <c r="H16" s="17"/>
      <c r="I16" s="18"/>
      <c r="J16" s="19"/>
      <c r="K16" s="1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4" ht="15.75" customHeight="1" x14ac:dyDescent="0.3">
      <c r="A17" s="24" t="s">
        <v>22</v>
      </c>
      <c r="B17" s="27">
        <v>3.25</v>
      </c>
      <c r="C17" s="27">
        <v>14.99</v>
      </c>
      <c r="D17" s="26">
        <f t="shared" si="1"/>
        <v>48.717500000000001</v>
      </c>
      <c r="E17" s="11"/>
      <c r="F17" s="17"/>
      <c r="G17" s="17"/>
      <c r="H17" s="17"/>
      <c r="I17" s="18"/>
      <c r="J17" s="19"/>
      <c r="K17" s="19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4" ht="15.75" customHeight="1" x14ac:dyDescent="0.3">
      <c r="A18" s="24" t="s">
        <v>196</v>
      </c>
      <c r="B18" s="27">
        <v>1</v>
      </c>
      <c r="C18" s="27">
        <v>15.99</v>
      </c>
      <c r="D18" s="26">
        <f t="shared" ref="D18" si="2">SUM(B18*C18)</f>
        <v>15.99</v>
      </c>
      <c r="E18" s="11"/>
      <c r="F18" s="17"/>
      <c r="G18" s="17"/>
      <c r="H18" s="17"/>
      <c r="I18" s="18"/>
      <c r="J18" s="19"/>
      <c r="K18" s="19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4" ht="15.75" customHeight="1" x14ac:dyDescent="0.3">
      <c r="A19" s="24" t="s">
        <v>23</v>
      </c>
      <c r="B19" s="27">
        <v>2.9</v>
      </c>
      <c r="C19" s="27">
        <v>16.190000000000001</v>
      </c>
      <c r="D19" s="26">
        <f t="shared" si="1"/>
        <v>46.951000000000001</v>
      </c>
      <c r="E19" s="11"/>
      <c r="F19" s="17"/>
      <c r="G19" s="17"/>
      <c r="H19" s="17"/>
      <c r="I19" s="18"/>
      <c r="J19" s="19"/>
      <c r="K19" s="19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4" ht="15.75" customHeight="1" x14ac:dyDescent="0.3">
      <c r="A20" s="24" t="s">
        <v>24</v>
      </c>
      <c r="B20" s="27">
        <v>0.75</v>
      </c>
      <c r="C20" s="27">
        <v>17.489999999999998</v>
      </c>
      <c r="D20" s="26">
        <f t="shared" si="1"/>
        <v>13.1175</v>
      </c>
      <c r="E20" s="11"/>
      <c r="F20" s="17"/>
      <c r="G20" s="17"/>
      <c r="H20" s="17"/>
      <c r="I20" s="18"/>
      <c r="J20" s="19"/>
      <c r="K20" s="1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5.75" customHeight="1" x14ac:dyDescent="0.3">
      <c r="A21" s="24" t="s">
        <v>25</v>
      </c>
      <c r="B21" s="27">
        <v>1</v>
      </c>
      <c r="C21" s="27">
        <v>17.690000000000001</v>
      </c>
      <c r="D21" s="26">
        <f t="shared" si="1"/>
        <v>17.690000000000001</v>
      </c>
      <c r="E21" s="11"/>
      <c r="F21" s="17"/>
      <c r="G21" s="17"/>
      <c r="H21" s="17"/>
      <c r="I21" s="18"/>
      <c r="J21" s="19"/>
      <c r="K21" s="19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4" ht="15.75" customHeight="1" x14ac:dyDescent="0.3">
      <c r="A22" s="24" t="s">
        <v>157</v>
      </c>
      <c r="B22" s="27">
        <v>0.75</v>
      </c>
      <c r="C22" s="27">
        <v>27.99</v>
      </c>
      <c r="D22" s="26">
        <f t="shared" si="1"/>
        <v>20.9925</v>
      </c>
      <c r="E22" s="11"/>
      <c r="F22" s="17"/>
      <c r="G22" s="17"/>
      <c r="H22" s="17"/>
      <c r="I22" s="18"/>
      <c r="J22" s="19"/>
      <c r="K22" s="19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4" ht="15.75" customHeight="1" x14ac:dyDescent="0.3">
      <c r="A23" s="24" t="s">
        <v>26</v>
      </c>
      <c r="B23" s="27">
        <v>1.25</v>
      </c>
      <c r="C23" s="27">
        <v>11.99</v>
      </c>
      <c r="D23" s="26">
        <f t="shared" si="1"/>
        <v>14.987500000000001</v>
      </c>
      <c r="E23" s="11"/>
      <c r="F23" s="17"/>
      <c r="G23" s="17"/>
      <c r="H23" s="17"/>
      <c r="I23" s="18"/>
      <c r="J23" s="19"/>
      <c r="K23" s="19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4" ht="15.75" customHeight="1" x14ac:dyDescent="0.3">
      <c r="A24" s="24" t="s">
        <v>186</v>
      </c>
      <c r="B24" s="27">
        <v>1</v>
      </c>
      <c r="C24" s="27">
        <v>31.99</v>
      </c>
      <c r="D24" s="26">
        <f t="shared" si="1"/>
        <v>31.99</v>
      </c>
      <c r="E24" s="11"/>
      <c r="F24" s="17"/>
      <c r="G24" s="17"/>
      <c r="H24" s="17"/>
      <c r="I24" s="18"/>
      <c r="J24" s="19"/>
      <c r="K24" s="19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4" ht="15.75" customHeight="1" x14ac:dyDescent="0.3">
      <c r="A25" s="24" t="s">
        <v>179</v>
      </c>
      <c r="B25" s="27">
        <v>0.8</v>
      </c>
      <c r="C25" s="27">
        <v>31.99</v>
      </c>
      <c r="D25" s="26">
        <f t="shared" si="1"/>
        <v>25.591999999999999</v>
      </c>
      <c r="E25" s="11"/>
      <c r="F25" s="17"/>
      <c r="G25" s="17"/>
      <c r="H25" s="17"/>
      <c r="I25" s="18"/>
      <c r="J25" s="19"/>
      <c r="K25" s="19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4" ht="15.75" customHeight="1" x14ac:dyDescent="0.3">
      <c r="A26" s="24" t="s">
        <v>27</v>
      </c>
      <c r="B26" s="27">
        <v>0.25</v>
      </c>
      <c r="C26" s="27">
        <v>24</v>
      </c>
      <c r="D26" s="26">
        <f t="shared" si="1"/>
        <v>6</v>
      </c>
      <c r="E26" s="11"/>
      <c r="F26" s="17"/>
      <c r="G26" s="17"/>
      <c r="H26" s="17"/>
      <c r="I26" s="18"/>
      <c r="J26" s="19"/>
      <c r="K26" s="19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4" ht="15.75" customHeight="1" x14ac:dyDescent="0.25">
      <c r="A27" s="21"/>
      <c r="B27" s="22"/>
      <c r="C27" s="22"/>
      <c r="D27" s="23"/>
      <c r="E27" s="11"/>
      <c r="F27" s="17"/>
      <c r="G27" s="17"/>
      <c r="H27" s="17"/>
      <c r="I27" s="18"/>
      <c r="J27" s="19"/>
      <c r="K27" s="19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4" ht="15.75" customHeight="1" x14ac:dyDescent="0.3">
      <c r="A28" s="28" t="s">
        <v>28</v>
      </c>
      <c r="B28" s="29"/>
      <c r="C28" s="29"/>
      <c r="D28" s="30">
        <f t="shared" ref="D28:D34" si="3">SUM(B28*C28)</f>
        <v>0</v>
      </c>
      <c r="E28" s="11"/>
      <c r="F28" s="17"/>
      <c r="G28" s="17"/>
      <c r="H28" s="17"/>
      <c r="I28" s="18"/>
      <c r="J28" s="19"/>
      <c r="K28" s="19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4" ht="15.75" customHeight="1" x14ac:dyDescent="0.3">
      <c r="A29" s="28" t="s">
        <v>29</v>
      </c>
      <c r="B29" s="29">
        <v>2.8</v>
      </c>
      <c r="C29" s="29">
        <v>14.89</v>
      </c>
      <c r="D29" s="30">
        <f t="shared" si="3"/>
        <v>41.692</v>
      </c>
      <c r="E29" s="11"/>
      <c r="F29" s="17"/>
      <c r="G29" s="17"/>
      <c r="H29" s="17"/>
      <c r="I29" s="18"/>
      <c r="J29" s="19"/>
      <c r="K29" s="1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5.75" customHeight="1" x14ac:dyDescent="0.3">
      <c r="A30" s="28" t="s">
        <v>30</v>
      </c>
      <c r="B30" s="31">
        <v>1.75</v>
      </c>
      <c r="C30" s="31">
        <v>23.49</v>
      </c>
      <c r="D30" s="30">
        <f t="shared" si="3"/>
        <v>41.107499999999995</v>
      </c>
      <c r="E30" s="11"/>
      <c r="F30" s="17"/>
      <c r="G30" s="17"/>
      <c r="H30" s="17"/>
      <c r="I30" s="18"/>
      <c r="J30" s="19"/>
      <c r="K30" s="19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4" ht="15.75" customHeight="1" x14ac:dyDescent="0.3">
      <c r="A31" s="28" t="s">
        <v>31</v>
      </c>
      <c r="B31" s="31"/>
      <c r="C31" s="31">
        <v>23.5</v>
      </c>
      <c r="D31" s="30">
        <f t="shared" si="3"/>
        <v>0</v>
      </c>
      <c r="E31" s="11"/>
      <c r="F31" s="17"/>
      <c r="G31" s="17"/>
      <c r="H31" s="17"/>
      <c r="I31" s="18"/>
      <c r="J31" s="19"/>
      <c r="K31" s="19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4" ht="15.75" customHeight="1" x14ac:dyDescent="0.3">
      <c r="A32" s="28" t="s">
        <v>32</v>
      </c>
      <c r="B32" s="31">
        <v>1.75</v>
      </c>
      <c r="C32" s="31">
        <v>18.989999999999998</v>
      </c>
      <c r="D32" s="30">
        <f t="shared" si="3"/>
        <v>33.232499999999995</v>
      </c>
      <c r="E32" s="11"/>
      <c r="F32" s="17"/>
      <c r="G32" s="17"/>
      <c r="H32" s="17"/>
      <c r="I32" s="18"/>
      <c r="J32" s="19"/>
      <c r="K32" s="19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5.75" customHeight="1" x14ac:dyDescent="0.3">
      <c r="A33" s="28" t="s">
        <v>33</v>
      </c>
      <c r="B33" s="31">
        <v>2.8</v>
      </c>
      <c r="C33" s="31">
        <v>18.989999999999998</v>
      </c>
      <c r="D33" s="30">
        <f t="shared" si="3"/>
        <v>53.17199999999999</v>
      </c>
      <c r="E33" s="11"/>
      <c r="F33" s="17"/>
      <c r="G33" s="17"/>
      <c r="H33" s="17"/>
      <c r="I33" s="18"/>
      <c r="J33" s="19"/>
      <c r="K33" s="19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5.75" customHeight="1" x14ac:dyDescent="0.3">
      <c r="A34" s="28" t="s">
        <v>34</v>
      </c>
      <c r="B34" s="31">
        <v>8.1</v>
      </c>
      <c r="C34" s="31">
        <v>18.989999999999998</v>
      </c>
      <c r="D34" s="30">
        <f t="shared" si="3"/>
        <v>153.81899999999999</v>
      </c>
      <c r="E34" s="11"/>
      <c r="F34" s="17"/>
      <c r="G34" s="17"/>
      <c r="H34" s="17"/>
      <c r="I34" s="18"/>
      <c r="J34" s="19"/>
      <c r="K34" s="19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5.75" customHeight="1" x14ac:dyDescent="0.25">
      <c r="A35" s="21"/>
      <c r="B35" s="22"/>
      <c r="C35" s="22"/>
      <c r="D35" s="23"/>
      <c r="E35" s="11"/>
      <c r="F35" s="17"/>
      <c r="G35" s="17"/>
      <c r="H35" s="17"/>
      <c r="I35" s="18"/>
      <c r="J35" s="19"/>
      <c r="K35" s="19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5.75" customHeight="1" x14ac:dyDescent="0.3">
      <c r="A36" s="32" t="s">
        <v>35</v>
      </c>
      <c r="B36" s="33"/>
      <c r="C36" s="33"/>
      <c r="D36" s="34">
        <f t="shared" ref="D36:D52" si="4">SUM(B36*C36)</f>
        <v>0</v>
      </c>
      <c r="E36" s="11"/>
      <c r="F36" s="17"/>
      <c r="G36" s="17"/>
      <c r="H36" s="17"/>
      <c r="I36" s="18"/>
      <c r="J36" s="19"/>
      <c r="K36" s="19"/>
      <c r="L36" s="2"/>
      <c r="M36" s="21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5.75" customHeight="1" x14ac:dyDescent="0.3">
      <c r="A37" s="32" t="s">
        <v>36</v>
      </c>
      <c r="B37" s="35">
        <v>2.4</v>
      </c>
      <c r="C37" s="35">
        <v>17.989999999999998</v>
      </c>
      <c r="D37" s="34">
        <f t="shared" si="4"/>
        <v>43.175999999999995</v>
      </c>
      <c r="E37" s="11"/>
      <c r="F37" s="17"/>
      <c r="G37" s="17"/>
      <c r="H37" s="17"/>
      <c r="I37" s="18"/>
      <c r="J37" s="19"/>
      <c r="K37" s="19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5.75" customHeight="1" x14ac:dyDescent="0.3">
      <c r="A38" s="32" t="s">
        <v>37</v>
      </c>
      <c r="B38" s="35">
        <v>0.6</v>
      </c>
      <c r="C38" s="35">
        <v>17.989999999999998</v>
      </c>
      <c r="D38" s="34">
        <f t="shared" si="4"/>
        <v>10.793999999999999</v>
      </c>
      <c r="E38" s="11"/>
      <c r="F38" s="17"/>
      <c r="G38" s="17"/>
      <c r="H38" s="17"/>
      <c r="I38" s="18"/>
      <c r="J38" s="19"/>
      <c r="K38" s="19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5.75" customHeight="1" x14ac:dyDescent="0.3">
      <c r="A39" s="32" t="s">
        <v>38</v>
      </c>
      <c r="B39" s="35">
        <v>2.2999999999999998</v>
      </c>
      <c r="C39" s="35">
        <v>17.989999999999998</v>
      </c>
      <c r="D39" s="34">
        <f t="shared" si="4"/>
        <v>41.376999999999995</v>
      </c>
      <c r="E39" s="11"/>
      <c r="F39" s="17"/>
      <c r="G39" s="17"/>
      <c r="H39" s="17"/>
      <c r="I39" s="18"/>
      <c r="J39" s="19"/>
      <c r="K39" s="19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5.75" customHeight="1" x14ac:dyDescent="0.3">
      <c r="A40" s="32" t="s">
        <v>158</v>
      </c>
      <c r="B40" s="35">
        <v>0.7</v>
      </c>
      <c r="C40" s="35">
        <v>14.99</v>
      </c>
      <c r="D40" s="34">
        <f t="shared" si="4"/>
        <v>10.493</v>
      </c>
      <c r="E40" s="11"/>
      <c r="F40" s="17"/>
      <c r="G40" s="17"/>
      <c r="H40" s="17"/>
      <c r="I40" s="18"/>
      <c r="J40" s="19"/>
      <c r="K40" s="19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5.75" customHeight="1" x14ac:dyDescent="0.3">
      <c r="A41" s="32" t="s">
        <v>39</v>
      </c>
      <c r="B41" s="35">
        <v>0.65</v>
      </c>
      <c r="C41" s="35">
        <v>16.489999999999998</v>
      </c>
      <c r="D41" s="34">
        <f t="shared" si="4"/>
        <v>10.718499999999999</v>
      </c>
      <c r="E41" s="11"/>
      <c r="F41" s="17"/>
      <c r="G41" s="17"/>
      <c r="H41" s="17"/>
      <c r="I41" s="18"/>
      <c r="J41" s="19"/>
      <c r="K41" s="19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5.75" customHeight="1" x14ac:dyDescent="0.3">
      <c r="A42" s="32" t="s">
        <v>187</v>
      </c>
      <c r="B42" s="35">
        <v>1</v>
      </c>
      <c r="C42" s="35">
        <v>24.89</v>
      </c>
      <c r="D42" s="34">
        <f>SUM(B42*C42)</f>
        <v>24.89</v>
      </c>
      <c r="E42" s="11"/>
      <c r="F42" s="17"/>
      <c r="G42" s="17"/>
      <c r="H42" s="17"/>
      <c r="I42" s="18"/>
      <c r="J42" s="19"/>
      <c r="K42" s="19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5.75" customHeight="1" x14ac:dyDescent="0.3">
      <c r="A43" s="32" t="s">
        <v>40</v>
      </c>
      <c r="B43" s="35">
        <v>0.6</v>
      </c>
      <c r="C43" s="35">
        <v>28.5</v>
      </c>
      <c r="D43" s="34">
        <f t="shared" si="4"/>
        <v>17.099999999999998</v>
      </c>
      <c r="E43" s="11"/>
      <c r="F43" s="17"/>
      <c r="G43" s="17"/>
      <c r="H43" s="17"/>
      <c r="I43" s="18"/>
      <c r="J43" s="19"/>
      <c r="K43" s="19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5.75" customHeight="1" x14ac:dyDescent="0.3">
      <c r="A44" s="32" t="s">
        <v>41</v>
      </c>
      <c r="B44" s="35"/>
      <c r="C44" s="35">
        <v>23.49</v>
      </c>
      <c r="D44" s="34">
        <f t="shared" si="4"/>
        <v>0</v>
      </c>
      <c r="E44" s="11"/>
      <c r="F44" s="17"/>
      <c r="G44" s="17"/>
      <c r="H44" s="17"/>
      <c r="I44" s="18"/>
      <c r="J44" s="19"/>
      <c r="K44" s="19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5.75" customHeight="1" x14ac:dyDescent="0.3">
      <c r="A45" s="32" t="s">
        <v>42</v>
      </c>
      <c r="B45" s="35">
        <v>1.2</v>
      </c>
      <c r="C45" s="35">
        <v>20.99</v>
      </c>
      <c r="D45" s="34">
        <f t="shared" si="4"/>
        <v>25.187999999999999</v>
      </c>
      <c r="E45" s="11"/>
      <c r="F45" s="17"/>
      <c r="G45" s="17"/>
      <c r="H45" s="17"/>
      <c r="I45" s="18"/>
      <c r="J45" s="19"/>
      <c r="K45" s="19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5.75" customHeight="1" x14ac:dyDescent="0.3">
      <c r="A46" s="32" t="s">
        <v>43</v>
      </c>
      <c r="B46" s="35">
        <v>0.9</v>
      </c>
      <c r="C46" s="35">
        <v>14.99</v>
      </c>
      <c r="D46" s="34">
        <f t="shared" si="4"/>
        <v>13.491</v>
      </c>
      <c r="E46" s="11"/>
      <c r="F46" s="17"/>
      <c r="G46" s="17"/>
      <c r="H46" s="17"/>
      <c r="I46" s="18"/>
      <c r="J46" s="19"/>
      <c r="K46" s="19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5.75" customHeight="1" x14ac:dyDescent="0.3">
      <c r="A47" s="32" t="s">
        <v>44</v>
      </c>
      <c r="B47" s="35">
        <v>0.25</v>
      </c>
      <c r="C47" s="35">
        <v>31.99</v>
      </c>
      <c r="D47" s="34">
        <f t="shared" si="4"/>
        <v>7.9974999999999996</v>
      </c>
      <c r="E47" s="11"/>
      <c r="F47" s="17"/>
      <c r="G47" s="17"/>
      <c r="H47" s="17"/>
      <c r="I47" s="18"/>
      <c r="J47" s="19"/>
      <c r="K47" s="19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5.75" customHeight="1" x14ac:dyDescent="0.3">
      <c r="A48" s="32" t="s">
        <v>45</v>
      </c>
      <c r="B48" s="35"/>
      <c r="C48" s="35">
        <v>28</v>
      </c>
      <c r="D48" s="34">
        <f t="shared" si="4"/>
        <v>0</v>
      </c>
      <c r="E48" s="11"/>
      <c r="F48" s="17"/>
      <c r="G48" s="17"/>
      <c r="H48" s="17"/>
      <c r="I48" s="18"/>
      <c r="J48" s="19"/>
      <c r="K48" s="19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7" ht="15.75" customHeight="1" x14ac:dyDescent="0.3">
      <c r="A49" s="32" t="s">
        <v>46</v>
      </c>
      <c r="B49" s="35">
        <v>0.7</v>
      </c>
      <c r="C49" s="35">
        <v>15.99</v>
      </c>
      <c r="D49" s="34">
        <f t="shared" si="4"/>
        <v>11.193</v>
      </c>
      <c r="E49" s="11"/>
      <c r="F49" s="17"/>
      <c r="G49" s="17"/>
      <c r="H49" s="17"/>
      <c r="I49" s="18"/>
      <c r="J49" s="19"/>
      <c r="K49" s="19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7" ht="15.75" customHeight="1" x14ac:dyDescent="0.3">
      <c r="A50" s="32" t="s">
        <v>47</v>
      </c>
      <c r="B50" s="35">
        <v>0.75</v>
      </c>
      <c r="C50" s="35">
        <v>20.29</v>
      </c>
      <c r="D50" s="34">
        <f t="shared" si="4"/>
        <v>15.217499999999999</v>
      </c>
      <c r="E50" s="11"/>
      <c r="F50" s="17"/>
      <c r="G50" s="17"/>
      <c r="H50" s="17"/>
      <c r="I50" s="18"/>
      <c r="J50" s="19"/>
      <c r="K50" s="19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7" ht="15.75" customHeight="1" x14ac:dyDescent="0.3">
      <c r="A51" s="32" t="s">
        <v>48</v>
      </c>
      <c r="B51" s="35">
        <v>1</v>
      </c>
      <c r="C51" s="35">
        <v>12.49</v>
      </c>
      <c r="D51" s="34">
        <f t="shared" si="4"/>
        <v>12.49</v>
      </c>
      <c r="E51" s="11"/>
      <c r="F51" s="17"/>
      <c r="G51" s="17"/>
      <c r="H51" s="17"/>
      <c r="I51" s="18"/>
      <c r="J51" s="19"/>
      <c r="K51" s="19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7" ht="15.75" customHeight="1" x14ac:dyDescent="0.3">
      <c r="A52" s="32" t="s">
        <v>49</v>
      </c>
      <c r="B52" s="35">
        <v>1.8</v>
      </c>
      <c r="C52" s="35">
        <v>16.989999999999998</v>
      </c>
      <c r="D52" s="34">
        <f t="shared" si="4"/>
        <v>30.581999999999997</v>
      </c>
      <c r="E52" s="11"/>
      <c r="F52" s="17"/>
      <c r="G52" s="17"/>
      <c r="H52" s="17"/>
      <c r="I52" s="18"/>
      <c r="J52" s="19"/>
      <c r="K52" s="19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7" ht="15.75" customHeight="1" x14ac:dyDescent="0.25">
      <c r="A53" s="21"/>
      <c r="B53" s="22"/>
      <c r="C53" s="22"/>
      <c r="D53" s="23"/>
      <c r="E53" s="11"/>
      <c r="F53" s="17"/>
      <c r="G53" s="17"/>
      <c r="H53" s="17"/>
      <c r="I53" s="18"/>
      <c r="J53" s="19"/>
      <c r="K53" s="19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7" ht="15.75" customHeight="1" x14ac:dyDescent="0.3">
      <c r="A54" s="36" t="s">
        <v>50</v>
      </c>
      <c r="B54" s="37"/>
      <c r="C54" s="37"/>
      <c r="D54" s="38"/>
      <c r="E54" s="11"/>
      <c r="F54" s="17"/>
      <c r="G54" s="17"/>
      <c r="H54" s="17"/>
      <c r="I54" s="18"/>
      <c r="J54" s="19"/>
      <c r="K54" s="19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7" ht="15.75" customHeight="1" x14ac:dyDescent="0.3">
      <c r="A55" s="36" t="s">
        <v>51</v>
      </c>
      <c r="B55" s="39">
        <v>1.25</v>
      </c>
      <c r="C55" s="39">
        <v>16.489999999999998</v>
      </c>
      <c r="D55" s="38">
        <f t="shared" ref="D55:D59" si="5">SUM(B55*C55)</f>
        <v>20.612499999999997</v>
      </c>
      <c r="E55" s="11"/>
      <c r="F55" s="17"/>
      <c r="G55" s="17"/>
      <c r="H55" s="17"/>
      <c r="I55" s="18"/>
      <c r="J55" s="19"/>
      <c r="K55" s="19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7" ht="15.75" customHeight="1" x14ac:dyDescent="0.3">
      <c r="A56" s="36" t="s">
        <v>52</v>
      </c>
      <c r="B56" s="39">
        <v>2</v>
      </c>
      <c r="C56" s="39">
        <v>12.49</v>
      </c>
      <c r="D56" s="38">
        <f t="shared" si="5"/>
        <v>24.98</v>
      </c>
      <c r="E56" s="11"/>
      <c r="F56" s="17"/>
      <c r="G56" s="17"/>
      <c r="H56" s="17"/>
      <c r="I56" s="18"/>
      <c r="J56" s="19"/>
      <c r="K56" s="19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7" ht="15.75" customHeight="1" x14ac:dyDescent="0.3">
      <c r="A57" s="36" t="s">
        <v>53</v>
      </c>
      <c r="B57" s="39">
        <v>2.25</v>
      </c>
      <c r="C57" s="39">
        <v>12.49</v>
      </c>
      <c r="D57" s="38">
        <f t="shared" si="5"/>
        <v>28.102499999999999</v>
      </c>
      <c r="E57" s="11"/>
      <c r="F57" s="17"/>
      <c r="G57" s="17"/>
      <c r="H57" s="17"/>
      <c r="I57" s="18"/>
      <c r="J57" s="19"/>
      <c r="K57" s="19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7" ht="15.75" customHeight="1" x14ac:dyDescent="0.3">
      <c r="A58" s="36" t="s">
        <v>54</v>
      </c>
      <c r="B58" s="39"/>
      <c r="C58" s="39">
        <v>8.99</v>
      </c>
      <c r="D58" s="38">
        <f t="shared" si="5"/>
        <v>0</v>
      </c>
      <c r="E58" s="11"/>
      <c r="F58" s="17"/>
      <c r="G58" s="17"/>
      <c r="H58" s="17"/>
      <c r="I58" s="18"/>
      <c r="J58" s="19"/>
      <c r="K58" s="19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7" ht="15.75" customHeight="1" x14ac:dyDescent="0.3">
      <c r="A59" s="36" t="s">
        <v>55</v>
      </c>
      <c r="B59" s="39">
        <v>0.75</v>
      </c>
      <c r="C59" s="39">
        <v>11.99</v>
      </c>
      <c r="D59" s="38">
        <f t="shared" si="5"/>
        <v>8.9924999999999997</v>
      </c>
      <c r="E59" s="11"/>
      <c r="F59" s="17"/>
      <c r="G59" s="17"/>
      <c r="H59" s="17"/>
      <c r="I59" s="18"/>
      <c r="J59" s="19"/>
      <c r="K59" s="19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7" ht="15.75" customHeight="1" x14ac:dyDescent="0.3">
      <c r="A60" s="36" t="s">
        <v>56</v>
      </c>
      <c r="B60" s="39">
        <v>1.6</v>
      </c>
      <c r="C60" s="39">
        <v>12.99</v>
      </c>
      <c r="D60" s="38">
        <f t="shared" ref="D60:D71" si="6">SUM(B60*C60)</f>
        <v>20.784000000000002</v>
      </c>
      <c r="E60" s="11"/>
      <c r="F60" s="17"/>
      <c r="G60" s="17"/>
      <c r="H60" s="17"/>
      <c r="I60" s="18"/>
      <c r="J60" s="19"/>
      <c r="K60" s="19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7" ht="15.75" customHeight="1" x14ac:dyDescent="0.3">
      <c r="A61" s="36" t="s">
        <v>57</v>
      </c>
      <c r="B61" s="39">
        <v>1.5</v>
      </c>
      <c r="C61" s="39">
        <v>11.99</v>
      </c>
      <c r="D61" s="38">
        <f t="shared" si="6"/>
        <v>17.984999999999999</v>
      </c>
      <c r="E61" s="11"/>
      <c r="F61" s="17"/>
      <c r="G61" s="17"/>
      <c r="H61" s="17"/>
      <c r="I61" s="18"/>
      <c r="J61" s="19"/>
      <c r="K61" s="19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75" customHeight="1" x14ac:dyDescent="0.3">
      <c r="A62" s="36" t="s">
        <v>58</v>
      </c>
      <c r="B62" s="39">
        <v>4.8</v>
      </c>
      <c r="C62" s="39">
        <v>11.99</v>
      </c>
      <c r="D62" s="38">
        <f t="shared" si="6"/>
        <v>57.552</v>
      </c>
      <c r="E62" s="11"/>
      <c r="F62" s="17"/>
      <c r="G62" s="17"/>
      <c r="H62" s="17"/>
      <c r="I62" s="18"/>
      <c r="J62" s="19"/>
      <c r="K62" s="19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customHeight="1" x14ac:dyDescent="0.3">
      <c r="A63" s="36" t="s">
        <v>59</v>
      </c>
      <c r="B63" s="39">
        <v>0.8</v>
      </c>
      <c r="C63" s="39">
        <v>12.29</v>
      </c>
      <c r="D63" s="38">
        <f t="shared" si="6"/>
        <v>9.8320000000000007</v>
      </c>
      <c r="E63" s="11"/>
      <c r="F63" s="17"/>
      <c r="G63" s="17"/>
      <c r="H63" s="17"/>
      <c r="I63" s="18"/>
      <c r="J63" s="19"/>
      <c r="K63" s="19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 x14ac:dyDescent="0.3">
      <c r="A64" s="36" t="s">
        <v>60</v>
      </c>
      <c r="B64" s="39">
        <v>1.7</v>
      </c>
      <c r="C64" s="39">
        <v>11.49</v>
      </c>
      <c r="D64" s="38">
        <f t="shared" si="6"/>
        <v>19.533000000000001</v>
      </c>
      <c r="E64" s="11"/>
      <c r="F64" s="17"/>
      <c r="G64" s="17"/>
      <c r="H64" s="17"/>
      <c r="I64" s="18"/>
      <c r="J64" s="19"/>
      <c r="K64" s="19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 x14ac:dyDescent="0.3">
      <c r="A65" s="36" t="s">
        <v>61</v>
      </c>
      <c r="B65" s="39">
        <v>0.5</v>
      </c>
      <c r="C65" s="39">
        <v>9.99</v>
      </c>
      <c r="D65" s="38">
        <f t="shared" si="6"/>
        <v>4.9950000000000001</v>
      </c>
      <c r="E65" s="11"/>
      <c r="F65" s="17"/>
      <c r="G65" s="17"/>
      <c r="H65" s="17"/>
      <c r="I65" s="18"/>
      <c r="J65" s="19"/>
      <c r="K65" s="19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 x14ac:dyDescent="0.3">
      <c r="A66" s="36" t="s">
        <v>62</v>
      </c>
      <c r="B66" s="39">
        <v>1.3</v>
      </c>
      <c r="C66" s="39">
        <v>14.99</v>
      </c>
      <c r="D66" s="38">
        <f t="shared" si="6"/>
        <v>19.487000000000002</v>
      </c>
      <c r="E66" s="11"/>
      <c r="F66" s="17"/>
      <c r="G66" s="17"/>
      <c r="H66" s="17"/>
      <c r="I66" s="18"/>
      <c r="J66" s="19"/>
      <c r="K66" s="19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 x14ac:dyDescent="0.3">
      <c r="A67" s="36" t="s">
        <v>63</v>
      </c>
      <c r="B67" s="39">
        <v>1.55</v>
      </c>
      <c r="C67" s="39">
        <v>11.99</v>
      </c>
      <c r="D67" s="38">
        <f t="shared" si="6"/>
        <v>18.584500000000002</v>
      </c>
      <c r="E67" s="11"/>
      <c r="F67" s="17"/>
      <c r="G67" s="17"/>
      <c r="H67" s="17"/>
      <c r="I67" s="18"/>
      <c r="J67" s="19"/>
      <c r="K67" s="19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customHeight="1" x14ac:dyDescent="0.3">
      <c r="A68" s="36" t="s">
        <v>64</v>
      </c>
      <c r="B68" s="39"/>
      <c r="C68" s="39">
        <v>14</v>
      </c>
      <c r="D68" s="38">
        <f t="shared" si="6"/>
        <v>0</v>
      </c>
      <c r="E68" s="11"/>
      <c r="F68" s="17"/>
      <c r="G68" s="17"/>
      <c r="H68" s="17"/>
      <c r="I68" s="18"/>
      <c r="J68" s="19"/>
      <c r="K68" s="19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75" customHeight="1" x14ac:dyDescent="0.3">
      <c r="A69" s="36" t="s">
        <v>156</v>
      </c>
      <c r="B69" s="39">
        <v>3.1</v>
      </c>
      <c r="C69" s="39">
        <v>12.99</v>
      </c>
      <c r="D69" s="38">
        <f t="shared" si="6"/>
        <v>40.268999999999998</v>
      </c>
      <c r="E69" s="11"/>
      <c r="F69" s="17"/>
      <c r="G69" s="17"/>
      <c r="H69" s="17"/>
      <c r="I69" s="18"/>
      <c r="J69" s="19"/>
      <c r="K69" s="19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75" customHeight="1" x14ac:dyDescent="0.3">
      <c r="A70" s="36" t="s">
        <v>65</v>
      </c>
      <c r="B70" s="39"/>
      <c r="C70" s="39">
        <v>14.99</v>
      </c>
      <c r="D70" s="38">
        <f t="shared" si="6"/>
        <v>0</v>
      </c>
      <c r="E70" s="11"/>
      <c r="F70" s="17"/>
      <c r="G70" s="17"/>
      <c r="H70" s="17"/>
      <c r="I70" s="18"/>
      <c r="J70" s="19"/>
      <c r="K70" s="19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customHeight="1" x14ac:dyDescent="0.3">
      <c r="A71" s="36" t="s">
        <v>66</v>
      </c>
      <c r="B71" s="39">
        <v>0.85</v>
      </c>
      <c r="C71" s="39">
        <v>400</v>
      </c>
      <c r="D71" s="38">
        <f t="shared" si="6"/>
        <v>340</v>
      </c>
      <c r="E71" s="11"/>
      <c r="F71" s="17"/>
      <c r="G71" s="17"/>
      <c r="H71" s="17"/>
      <c r="I71" s="18"/>
      <c r="J71" s="19"/>
      <c r="K71" s="19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75" customHeight="1" x14ac:dyDescent="0.25">
      <c r="A72" s="21"/>
      <c r="B72" s="22"/>
      <c r="C72" s="22"/>
      <c r="D72" s="23"/>
      <c r="E72" s="11"/>
      <c r="F72" s="17"/>
      <c r="G72" s="17"/>
      <c r="H72" s="17"/>
      <c r="I72" s="18"/>
      <c r="J72" s="19"/>
      <c r="K72" s="19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 x14ac:dyDescent="0.25">
      <c r="A73" s="21"/>
      <c r="B73" s="22"/>
      <c r="C73" s="22"/>
      <c r="D73" s="23"/>
      <c r="E73" s="11"/>
      <c r="F73" s="17"/>
      <c r="G73" s="17"/>
      <c r="H73" s="17"/>
      <c r="I73" s="18"/>
      <c r="J73" s="19"/>
      <c r="K73" s="19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 x14ac:dyDescent="0.3">
      <c r="A74" s="40" t="s">
        <v>67</v>
      </c>
      <c r="B74" s="41"/>
      <c r="C74" s="41"/>
      <c r="D74" s="42">
        <f t="shared" ref="D74:D76" si="7">SUM(B74*C74)</f>
        <v>0</v>
      </c>
      <c r="E74" s="11"/>
      <c r="F74" s="17"/>
      <c r="G74" s="17"/>
      <c r="H74" s="17"/>
      <c r="I74" s="18"/>
      <c r="J74" s="19"/>
      <c r="K74" s="19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 x14ac:dyDescent="0.3">
      <c r="A75" s="40" t="s">
        <v>68</v>
      </c>
      <c r="B75" s="43">
        <v>0.4</v>
      </c>
      <c r="C75" s="43">
        <v>6.99</v>
      </c>
      <c r="D75" s="42">
        <f t="shared" si="7"/>
        <v>2.7960000000000003</v>
      </c>
      <c r="E75" s="11"/>
      <c r="F75" s="17"/>
      <c r="G75" s="17"/>
      <c r="H75" s="17"/>
      <c r="I75" s="18"/>
      <c r="J75" s="19"/>
      <c r="K75" s="19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 x14ac:dyDescent="0.3">
      <c r="A76" s="40" t="s">
        <v>69</v>
      </c>
      <c r="B76" s="43"/>
      <c r="C76" s="43">
        <v>0</v>
      </c>
      <c r="D76" s="42">
        <f t="shared" si="7"/>
        <v>0</v>
      </c>
      <c r="E76" s="11"/>
      <c r="F76" s="17"/>
      <c r="G76" s="17"/>
      <c r="H76" s="17"/>
      <c r="I76" s="18"/>
      <c r="J76" s="19"/>
      <c r="K76" s="19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 x14ac:dyDescent="0.25">
      <c r="A77" s="21"/>
      <c r="B77" s="22"/>
      <c r="C77" s="22"/>
      <c r="D77" s="23"/>
      <c r="E77" s="11"/>
      <c r="F77" s="17"/>
      <c r="G77" s="17"/>
      <c r="H77" s="17"/>
      <c r="I77" s="18"/>
      <c r="J77" s="19"/>
      <c r="K77" s="19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 x14ac:dyDescent="0.3">
      <c r="A78" s="44" t="s">
        <v>70</v>
      </c>
      <c r="B78" s="22"/>
      <c r="C78" s="22"/>
      <c r="D78" s="23"/>
      <c r="E78" s="11"/>
      <c r="F78" s="17"/>
      <c r="G78" s="17"/>
      <c r="H78" s="17"/>
      <c r="I78" s="18"/>
      <c r="J78" s="19"/>
      <c r="K78" s="19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 x14ac:dyDescent="0.3">
      <c r="A79" s="45" t="s">
        <v>71</v>
      </c>
      <c r="B79" s="46"/>
      <c r="C79" s="46"/>
      <c r="D79" s="47"/>
      <c r="E79" s="11"/>
      <c r="F79" s="17"/>
      <c r="G79" s="17"/>
      <c r="H79" s="17"/>
      <c r="I79" s="18"/>
      <c r="J79" s="19"/>
      <c r="K79" s="19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 x14ac:dyDescent="0.3">
      <c r="A80" s="45" t="s">
        <v>164</v>
      </c>
      <c r="B80" s="48">
        <v>6.5</v>
      </c>
      <c r="C80" s="48">
        <v>5.98</v>
      </c>
      <c r="D80" s="47">
        <f t="shared" ref="D80:D83" si="8">SUM(B80*C80)</f>
        <v>38.870000000000005</v>
      </c>
      <c r="E80" s="11"/>
      <c r="F80" s="17"/>
      <c r="G80" s="17"/>
      <c r="H80" s="17"/>
      <c r="I80" s="18"/>
      <c r="J80" s="19"/>
      <c r="K80" s="19"/>
      <c r="L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 x14ac:dyDescent="0.3">
      <c r="A81" s="45" t="s">
        <v>165</v>
      </c>
      <c r="B81" s="48">
        <v>6.5</v>
      </c>
      <c r="C81" s="48">
        <v>7.23</v>
      </c>
      <c r="D81" s="47">
        <f t="shared" si="8"/>
        <v>46.995000000000005</v>
      </c>
      <c r="E81" s="11"/>
      <c r="F81" s="17"/>
      <c r="G81" s="17"/>
      <c r="H81" s="17"/>
      <c r="I81" s="18"/>
      <c r="J81" s="19"/>
      <c r="K81" s="19"/>
      <c r="L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 x14ac:dyDescent="0.3">
      <c r="A82" s="45" t="s">
        <v>73</v>
      </c>
      <c r="B82" s="48"/>
      <c r="C82" s="46">
        <v>5.36</v>
      </c>
      <c r="D82" s="47">
        <f t="shared" si="8"/>
        <v>0</v>
      </c>
      <c r="E82" s="11"/>
      <c r="F82" s="17"/>
      <c r="G82" s="17"/>
      <c r="H82" s="17"/>
      <c r="I82" s="18"/>
      <c r="J82" s="19"/>
      <c r="K82" s="19"/>
      <c r="L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 x14ac:dyDescent="0.3">
      <c r="A83" s="45" t="s">
        <v>72</v>
      </c>
      <c r="B83" s="48">
        <v>1.1000000000000001</v>
      </c>
      <c r="C83" s="48">
        <v>5.93</v>
      </c>
      <c r="D83" s="47">
        <f t="shared" si="8"/>
        <v>6.5230000000000006</v>
      </c>
      <c r="E83" s="11"/>
      <c r="F83" s="17"/>
      <c r="G83" s="17"/>
      <c r="H83" s="17"/>
      <c r="I83" s="18"/>
      <c r="J83" s="19"/>
      <c r="K83" s="19"/>
      <c r="L83" s="2"/>
      <c r="M83" s="104" t="s">
        <v>74</v>
      </c>
      <c r="N83" s="102"/>
      <c r="O83" s="103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 x14ac:dyDescent="0.3">
      <c r="A84" s="49"/>
      <c r="B84" s="50"/>
      <c r="C84" s="50"/>
      <c r="D84" s="23"/>
      <c r="E84" s="11"/>
      <c r="F84" s="17"/>
      <c r="G84" s="17"/>
      <c r="H84" s="17"/>
      <c r="I84" s="18"/>
      <c r="J84" s="19"/>
      <c r="K84" s="19"/>
      <c r="L84" s="2"/>
      <c r="M84" s="51" t="s">
        <v>7</v>
      </c>
      <c r="N84" s="51" t="s">
        <v>8</v>
      </c>
      <c r="O84" s="51" t="s">
        <v>9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 x14ac:dyDescent="0.3">
      <c r="A85" s="52" t="s">
        <v>75</v>
      </c>
      <c r="B85" s="53"/>
      <c r="C85" s="53"/>
      <c r="D85" s="54"/>
      <c r="E85" s="11"/>
      <c r="F85" s="17"/>
      <c r="G85" s="17"/>
      <c r="H85" s="17"/>
      <c r="I85" s="18"/>
      <c r="J85" s="19"/>
      <c r="K85" s="19"/>
      <c r="L85" s="2"/>
      <c r="M85" s="51" t="s">
        <v>76</v>
      </c>
      <c r="N85" s="51"/>
      <c r="O85" s="51">
        <f>SUM(175/750)*N85</f>
        <v>0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 x14ac:dyDescent="0.3">
      <c r="A86" s="52" t="s">
        <v>159</v>
      </c>
      <c r="B86" s="53">
        <v>6</v>
      </c>
      <c r="C86" s="53">
        <v>5.41</v>
      </c>
      <c r="D86" s="54">
        <f t="shared" ref="D86:D88" si="9">SUM(B86*C86)</f>
        <v>32.46</v>
      </c>
      <c r="E86" s="11"/>
      <c r="F86" s="17"/>
      <c r="G86" s="17"/>
      <c r="H86" s="17"/>
      <c r="I86" s="18"/>
      <c r="J86" s="19"/>
      <c r="K86" s="19"/>
      <c r="L86" s="2"/>
      <c r="M86" s="51"/>
      <c r="N86" s="51"/>
      <c r="O86" s="51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 x14ac:dyDescent="0.3">
      <c r="A87" s="52" t="s">
        <v>160</v>
      </c>
      <c r="B87" s="53">
        <v>18.5</v>
      </c>
      <c r="C87" s="53">
        <v>5.8</v>
      </c>
      <c r="D87" s="54">
        <f t="shared" si="9"/>
        <v>107.3</v>
      </c>
      <c r="E87" s="11"/>
      <c r="F87" s="17"/>
      <c r="G87" s="17"/>
      <c r="H87" s="17"/>
      <c r="I87" s="18"/>
      <c r="J87" s="19"/>
      <c r="K87" s="19"/>
      <c r="L87" s="2"/>
      <c r="M87" s="51"/>
      <c r="N87" s="51"/>
      <c r="O87" s="51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 x14ac:dyDescent="0.3">
      <c r="A88" s="52" t="s">
        <v>161</v>
      </c>
      <c r="B88" s="53">
        <v>9.75</v>
      </c>
      <c r="C88" s="53">
        <v>7</v>
      </c>
      <c r="D88" s="54">
        <f t="shared" si="9"/>
        <v>68.25</v>
      </c>
      <c r="E88" s="11"/>
      <c r="F88" s="17"/>
      <c r="G88" s="17"/>
      <c r="H88" s="17"/>
      <c r="I88" s="18"/>
      <c r="J88" s="19"/>
      <c r="K88" s="19"/>
      <c r="L88" s="2"/>
      <c r="M88" s="51"/>
      <c r="N88" s="51"/>
      <c r="O88" s="51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 x14ac:dyDescent="0.3">
      <c r="A89" s="52" t="s">
        <v>77</v>
      </c>
      <c r="B89" s="53"/>
      <c r="C89" s="53">
        <v>7.18</v>
      </c>
      <c r="D89" s="54">
        <f t="shared" ref="D89:D91" si="10">SUM(B89*C89)</f>
        <v>0</v>
      </c>
      <c r="E89" s="11"/>
      <c r="F89" s="17"/>
      <c r="G89" s="17"/>
      <c r="H89" s="17"/>
      <c r="I89" s="18"/>
      <c r="J89" s="19"/>
      <c r="K89" s="19"/>
      <c r="L89" s="2"/>
      <c r="M89" s="51"/>
      <c r="N89" s="51" t="s">
        <v>20</v>
      </c>
      <c r="O89" s="51" t="e">
        <f>SUM(O85+#REF!)</f>
        <v>#REF!</v>
      </c>
      <c r="P89" s="2"/>
      <c r="Q89" s="2"/>
      <c r="R89" s="2"/>
      <c r="S89" s="2"/>
      <c r="T89" s="2"/>
      <c r="U89" s="2"/>
      <c r="V89" s="2"/>
      <c r="W89" s="2"/>
      <c r="X89" s="2"/>
    </row>
    <row r="90" spans="1:27" ht="15.75" customHeight="1" x14ac:dyDescent="0.3">
      <c r="A90" s="52" t="s">
        <v>78</v>
      </c>
      <c r="B90" s="53"/>
      <c r="C90" s="53">
        <v>5.88</v>
      </c>
      <c r="D90" s="54">
        <f t="shared" si="10"/>
        <v>0</v>
      </c>
      <c r="E90" s="11"/>
      <c r="F90" s="17"/>
      <c r="G90" s="17"/>
      <c r="H90" s="17"/>
      <c r="I90" s="18"/>
      <c r="J90" s="19"/>
      <c r="K90" s="19"/>
      <c r="L90" s="2"/>
      <c r="M90" s="55"/>
      <c r="N90" s="55"/>
      <c r="O90" s="55"/>
      <c r="P90" s="2"/>
      <c r="Q90" s="2"/>
      <c r="R90" s="2"/>
      <c r="S90" s="2"/>
      <c r="T90" s="2"/>
      <c r="U90" s="2"/>
      <c r="V90" s="2"/>
      <c r="W90" s="2"/>
      <c r="X90" s="2"/>
    </row>
    <row r="91" spans="1:27" ht="15.75" customHeight="1" x14ac:dyDescent="0.3">
      <c r="A91" s="52" t="s">
        <v>79</v>
      </c>
      <c r="B91" s="53">
        <v>1</v>
      </c>
      <c r="C91" s="53">
        <v>5.56</v>
      </c>
      <c r="D91" s="54">
        <f t="shared" si="10"/>
        <v>5.56</v>
      </c>
      <c r="E91" s="11"/>
      <c r="F91" s="17"/>
      <c r="G91" s="17"/>
      <c r="H91" s="17"/>
      <c r="I91" s="18"/>
      <c r="J91" s="19"/>
      <c r="K91" s="19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7" ht="15.75" customHeight="1" x14ac:dyDescent="0.3">
      <c r="A92" s="44"/>
      <c r="B92" s="50"/>
      <c r="C92" s="50"/>
      <c r="D92" s="23"/>
      <c r="E92" s="11"/>
      <c r="F92" s="17"/>
      <c r="G92" s="17"/>
      <c r="H92" s="17"/>
      <c r="I92" s="18"/>
      <c r="J92" s="19"/>
      <c r="K92" s="19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7" ht="15.75" customHeight="1" x14ac:dyDescent="0.3">
      <c r="A93" s="56" t="s">
        <v>80</v>
      </c>
      <c r="B93" s="57"/>
      <c r="C93" s="57"/>
      <c r="D93" s="58"/>
      <c r="E93" s="11"/>
      <c r="F93" s="17"/>
      <c r="G93" s="17"/>
      <c r="H93" s="17"/>
      <c r="I93" s="18"/>
      <c r="J93" s="19"/>
      <c r="K93" s="19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7" ht="15.75" customHeight="1" x14ac:dyDescent="0.3">
      <c r="A94" s="56" t="s">
        <v>162</v>
      </c>
      <c r="B94" s="57"/>
      <c r="C94" s="57">
        <v>5.35</v>
      </c>
      <c r="D94" s="58">
        <f t="shared" ref="D94:D97" si="11">SUM(B94*C94)</f>
        <v>0</v>
      </c>
      <c r="E94" s="11"/>
      <c r="F94" s="17"/>
      <c r="G94" s="17"/>
      <c r="H94" s="17"/>
      <c r="I94" s="18"/>
      <c r="J94" s="19"/>
      <c r="K94" s="19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7" ht="15.75" customHeight="1" x14ac:dyDescent="0.3">
      <c r="A95" s="56" t="s">
        <v>163</v>
      </c>
      <c r="B95" s="57">
        <v>1.5</v>
      </c>
      <c r="C95" s="57">
        <v>5.8</v>
      </c>
      <c r="D95" s="58">
        <f t="shared" si="11"/>
        <v>8.6999999999999993</v>
      </c>
      <c r="E95" s="11"/>
      <c r="F95" s="17"/>
      <c r="G95" s="17"/>
      <c r="H95" s="17"/>
      <c r="I95" s="18"/>
      <c r="J95" s="19"/>
      <c r="K95" s="19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7" ht="15.75" customHeight="1" x14ac:dyDescent="0.3">
      <c r="A96" s="56" t="s">
        <v>81</v>
      </c>
      <c r="B96" s="57">
        <v>13</v>
      </c>
      <c r="C96" s="57">
        <v>5.53</v>
      </c>
      <c r="D96" s="58">
        <f t="shared" si="11"/>
        <v>71.89</v>
      </c>
      <c r="E96" s="11"/>
      <c r="F96" s="17"/>
      <c r="G96" s="17"/>
      <c r="H96" s="17"/>
      <c r="I96" s="18"/>
      <c r="J96" s="19"/>
      <c r="K96" s="19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7" ht="15.75" customHeight="1" x14ac:dyDescent="0.3">
      <c r="A97" s="56" t="s">
        <v>82</v>
      </c>
      <c r="B97" s="57">
        <v>10</v>
      </c>
      <c r="C97" s="57">
        <v>5.88</v>
      </c>
      <c r="D97" s="58">
        <f t="shared" si="11"/>
        <v>58.8</v>
      </c>
      <c r="E97" s="11"/>
      <c r="F97" s="17"/>
      <c r="G97" s="17"/>
      <c r="H97" s="17"/>
      <c r="I97" s="18"/>
      <c r="J97" s="19"/>
      <c r="K97" s="19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7" ht="15.75" customHeight="1" x14ac:dyDescent="0.3">
      <c r="A98" s="44"/>
      <c r="B98" s="50"/>
      <c r="C98" s="50"/>
      <c r="D98" s="23"/>
      <c r="E98" s="11"/>
      <c r="F98" s="17"/>
      <c r="G98" s="17"/>
      <c r="H98" s="17"/>
      <c r="I98" s="18"/>
      <c r="J98" s="19"/>
      <c r="K98" s="19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7" ht="15.75" customHeight="1" x14ac:dyDescent="0.3">
      <c r="A99" s="59" t="s">
        <v>83</v>
      </c>
      <c r="B99" s="60"/>
      <c r="C99" s="60"/>
      <c r="D99" s="61"/>
      <c r="E99" s="11"/>
      <c r="F99" s="17"/>
      <c r="G99" s="17"/>
      <c r="H99" s="17"/>
      <c r="I99" s="18"/>
      <c r="J99" s="19"/>
      <c r="K99" s="19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 x14ac:dyDescent="0.3">
      <c r="A100" s="59" t="s">
        <v>166</v>
      </c>
      <c r="B100" s="60">
        <v>7</v>
      </c>
      <c r="C100" s="60">
        <v>6.92</v>
      </c>
      <c r="D100" s="61">
        <f t="shared" ref="D100:D102" si="12">SUM(B100*C100)</f>
        <v>48.44</v>
      </c>
      <c r="E100" s="11"/>
      <c r="F100" s="17"/>
      <c r="G100" s="17"/>
      <c r="H100" s="17"/>
      <c r="I100" s="18"/>
      <c r="J100" s="19"/>
      <c r="K100" s="19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 x14ac:dyDescent="0.3">
      <c r="A101" s="59" t="s">
        <v>167</v>
      </c>
      <c r="B101" s="60"/>
      <c r="C101" s="60">
        <v>7.21</v>
      </c>
      <c r="D101" s="61">
        <f t="shared" si="12"/>
        <v>0</v>
      </c>
      <c r="E101" s="11"/>
      <c r="F101" s="17"/>
      <c r="G101" s="17"/>
      <c r="H101" s="17"/>
      <c r="I101" s="18"/>
      <c r="J101" s="19"/>
      <c r="K101" s="19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 x14ac:dyDescent="0.3">
      <c r="A102" s="59" t="s">
        <v>168</v>
      </c>
      <c r="B102" s="60">
        <v>4</v>
      </c>
      <c r="C102" s="60">
        <v>5.74</v>
      </c>
      <c r="D102" s="61">
        <f t="shared" si="12"/>
        <v>22.96</v>
      </c>
      <c r="E102" s="11"/>
      <c r="F102" s="17"/>
      <c r="G102" s="17"/>
      <c r="H102" s="17"/>
      <c r="I102" s="18"/>
      <c r="J102" s="19"/>
      <c r="K102" s="19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 x14ac:dyDescent="0.3">
      <c r="A103" s="59" t="s">
        <v>84</v>
      </c>
      <c r="B103" s="62"/>
      <c r="C103" s="62">
        <v>6.99</v>
      </c>
      <c r="D103" s="61">
        <f t="shared" ref="D103:D106" si="13">SUM(B103*C103)</f>
        <v>0</v>
      </c>
      <c r="E103" s="11"/>
      <c r="F103" s="17"/>
      <c r="G103" s="17"/>
      <c r="H103" s="17"/>
      <c r="I103" s="18"/>
      <c r="J103" s="19"/>
      <c r="K103" s="19"/>
      <c r="L103" s="2"/>
      <c r="M103" s="63"/>
      <c r="N103" s="63"/>
      <c r="O103" s="63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 x14ac:dyDescent="0.3">
      <c r="A104" s="59" t="s">
        <v>85</v>
      </c>
      <c r="B104" s="62">
        <v>0.5</v>
      </c>
      <c r="C104" s="62">
        <v>7.16</v>
      </c>
      <c r="D104" s="61">
        <f t="shared" si="13"/>
        <v>3.58</v>
      </c>
      <c r="E104" s="11"/>
      <c r="F104" s="17"/>
      <c r="G104" s="17"/>
      <c r="H104" s="17"/>
      <c r="I104" s="18"/>
      <c r="J104" s="19"/>
      <c r="K104" s="19"/>
      <c r="L104" s="2"/>
      <c r="M104" s="63"/>
      <c r="N104" s="63"/>
      <c r="O104" s="63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 x14ac:dyDescent="0.3">
      <c r="A105" s="59" t="s">
        <v>86</v>
      </c>
      <c r="B105" s="62"/>
      <c r="C105" s="62">
        <v>5.66</v>
      </c>
      <c r="D105" s="61">
        <f t="shared" si="13"/>
        <v>0</v>
      </c>
      <c r="E105" s="11"/>
      <c r="F105" s="17"/>
      <c r="G105" s="17"/>
      <c r="H105" s="17"/>
      <c r="I105" s="18"/>
      <c r="J105" s="19"/>
      <c r="K105" s="19"/>
      <c r="L105" s="2"/>
      <c r="M105" s="63"/>
      <c r="N105" s="63"/>
      <c r="O105" s="63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 x14ac:dyDescent="0.3">
      <c r="A106" s="59" t="s">
        <v>188</v>
      </c>
      <c r="B106" s="62">
        <v>2</v>
      </c>
      <c r="C106" s="62">
        <v>61.99</v>
      </c>
      <c r="D106" s="61">
        <f t="shared" si="13"/>
        <v>123.98</v>
      </c>
      <c r="E106" s="11"/>
      <c r="F106" s="17"/>
      <c r="G106" s="17"/>
      <c r="H106" s="17"/>
      <c r="I106" s="18"/>
      <c r="J106" s="19"/>
      <c r="K106" s="19"/>
      <c r="L106" s="2"/>
      <c r="M106" s="63"/>
      <c r="N106" s="63"/>
      <c r="O106" s="63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 x14ac:dyDescent="0.25">
      <c r="A107" s="21"/>
      <c r="B107" s="22"/>
      <c r="C107" s="22"/>
      <c r="D107" s="23"/>
      <c r="E107" s="11"/>
      <c r="F107" s="17"/>
      <c r="G107" s="17"/>
      <c r="H107" s="17"/>
      <c r="I107" s="18"/>
      <c r="J107" s="19"/>
      <c r="K107" s="19"/>
      <c r="L107" s="2"/>
      <c r="M107" s="64" t="s">
        <v>87</v>
      </c>
      <c r="N107" s="64"/>
      <c r="O107" s="64">
        <f>SUM(125/750)*N107</f>
        <v>0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 x14ac:dyDescent="0.3">
      <c r="A108" s="65" t="s">
        <v>88</v>
      </c>
      <c r="B108" s="66"/>
      <c r="C108" s="66"/>
      <c r="D108" s="67"/>
      <c r="E108" s="11"/>
      <c r="F108" s="17"/>
      <c r="G108" s="17"/>
      <c r="H108" s="17"/>
      <c r="I108" s="18"/>
      <c r="J108" s="19"/>
      <c r="K108" s="19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 x14ac:dyDescent="0.3">
      <c r="A109" s="65" t="s">
        <v>170</v>
      </c>
      <c r="B109" s="68">
        <v>12.2</v>
      </c>
      <c r="C109" s="68">
        <v>1.0900000000000001</v>
      </c>
      <c r="D109" s="67">
        <f t="shared" ref="D109:D122" si="14">SUM(B109*C109)</f>
        <v>13.298</v>
      </c>
      <c r="E109" s="11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7" ht="15.75" customHeight="1" x14ac:dyDescent="0.3">
      <c r="A110" s="65" t="s">
        <v>169</v>
      </c>
      <c r="B110" s="68">
        <v>11.5</v>
      </c>
      <c r="C110" s="68">
        <v>1.1200000000000001</v>
      </c>
      <c r="D110" s="67">
        <f t="shared" si="14"/>
        <v>12.88</v>
      </c>
      <c r="E110" s="11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7" ht="15.75" customHeight="1" x14ac:dyDescent="0.3">
      <c r="A111" s="65" t="s">
        <v>171</v>
      </c>
      <c r="B111" s="68">
        <v>14.5</v>
      </c>
      <c r="C111" s="68">
        <v>1.1599999999999999</v>
      </c>
      <c r="D111" s="67">
        <f t="shared" si="14"/>
        <v>16.82</v>
      </c>
      <c r="E111" s="11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7" ht="15.75" customHeight="1" x14ac:dyDescent="0.3">
      <c r="A112" s="65" t="s">
        <v>89</v>
      </c>
      <c r="B112" s="68">
        <v>1</v>
      </c>
      <c r="C112" s="68">
        <v>2.99</v>
      </c>
      <c r="D112" s="67">
        <f t="shared" si="14"/>
        <v>2.99</v>
      </c>
      <c r="E112" s="11"/>
      <c r="F112" s="17"/>
      <c r="G112" s="17"/>
      <c r="H112" s="17"/>
      <c r="I112" s="69"/>
      <c r="J112" s="69"/>
      <c r="K112" s="69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 x14ac:dyDescent="0.3">
      <c r="A113" s="65" t="s">
        <v>90</v>
      </c>
      <c r="B113" s="68">
        <v>8.75</v>
      </c>
      <c r="C113" s="68">
        <v>2.99</v>
      </c>
      <c r="D113" s="67">
        <f t="shared" si="14"/>
        <v>26.162500000000001</v>
      </c>
      <c r="E113" s="11"/>
      <c r="F113" s="17"/>
      <c r="G113" s="17"/>
      <c r="H113" s="17"/>
      <c r="I113" s="69"/>
      <c r="J113" s="69"/>
      <c r="K113" s="69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 x14ac:dyDescent="0.3">
      <c r="A114" s="65" t="s">
        <v>91</v>
      </c>
      <c r="B114" s="68">
        <v>16.8</v>
      </c>
      <c r="C114" s="68">
        <v>2.99</v>
      </c>
      <c r="D114" s="67">
        <f t="shared" si="14"/>
        <v>50.232000000000006</v>
      </c>
      <c r="E114" s="11"/>
      <c r="F114" s="17"/>
      <c r="G114" s="17"/>
      <c r="H114" s="17"/>
      <c r="I114" s="69"/>
      <c r="J114" s="69"/>
      <c r="K114" s="69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 x14ac:dyDescent="0.3">
      <c r="A115" s="65" t="s">
        <v>92</v>
      </c>
      <c r="B115" s="68">
        <v>10.5</v>
      </c>
      <c r="C115" s="68">
        <v>0.75</v>
      </c>
      <c r="D115" s="67">
        <f t="shared" si="14"/>
        <v>7.875</v>
      </c>
      <c r="E115" s="11"/>
      <c r="F115" s="17"/>
      <c r="G115" s="17"/>
      <c r="H115" s="17"/>
      <c r="I115" s="69"/>
      <c r="J115" s="69"/>
      <c r="K115" s="69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 x14ac:dyDescent="0.3">
      <c r="A116" s="65" t="s">
        <v>93</v>
      </c>
      <c r="B116" s="68">
        <v>50</v>
      </c>
      <c r="C116" s="68">
        <v>0.7</v>
      </c>
      <c r="D116" s="67">
        <f t="shared" si="14"/>
        <v>35</v>
      </c>
      <c r="E116" s="11"/>
      <c r="F116" s="17"/>
      <c r="G116" s="17"/>
      <c r="H116" s="17"/>
      <c r="I116" s="69"/>
      <c r="J116" s="69"/>
      <c r="K116" s="69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 x14ac:dyDescent="0.3">
      <c r="A117" s="65" t="s">
        <v>94</v>
      </c>
      <c r="B117" s="68">
        <v>34</v>
      </c>
      <c r="C117" s="68">
        <v>0.7</v>
      </c>
      <c r="D117" s="67">
        <f t="shared" si="14"/>
        <v>23.799999999999997</v>
      </c>
      <c r="E117" s="11"/>
      <c r="F117" s="17"/>
      <c r="G117" s="17"/>
      <c r="H117" s="17"/>
      <c r="I117" s="69"/>
      <c r="J117" s="69"/>
      <c r="K117" s="69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 x14ac:dyDescent="0.3">
      <c r="A118" s="65" t="s">
        <v>95</v>
      </c>
      <c r="B118" s="68">
        <v>49</v>
      </c>
      <c r="C118" s="68">
        <v>0.94</v>
      </c>
      <c r="D118" s="67">
        <f t="shared" si="14"/>
        <v>46.059999999999995</v>
      </c>
      <c r="E118" s="11"/>
      <c r="F118" s="17"/>
      <c r="G118" s="17"/>
      <c r="H118" s="17"/>
      <c r="I118" s="69"/>
      <c r="J118" s="69"/>
      <c r="K118" s="69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 x14ac:dyDescent="0.3">
      <c r="A119" s="65" t="s">
        <v>96</v>
      </c>
      <c r="B119" s="68"/>
      <c r="C119" s="68">
        <v>1.24</v>
      </c>
      <c r="D119" s="67">
        <f t="shared" si="14"/>
        <v>0</v>
      </c>
      <c r="E119" s="11"/>
      <c r="F119" s="17"/>
      <c r="G119" s="17"/>
      <c r="H119" s="17"/>
      <c r="I119" s="69"/>
      <c r="J119" s="69"/>
      <c r="K119" s="69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 x14ac:dyDescent="0.3">
      <c r="A120" s="65" t="s">
        <v>97</v>
      </c>
      <c r="B120" s="68">
        <v>6</v>
      </c>
      <c r="C120" s="68">
        <v>5.05</v>
      </c>
      <c r="D120" s="67">
        <f t="shared" si="14"/>
        <v>30.299999999999997</v>
      </c>
      <c r="E120" s="11"/>
      <c r="F120" s="17"/>
      <c r="G120" s="17"/>
      <c r="H120" s="17"/>
      <c r="I120" s="69"/>
      <c r="J120" s="69"/>
      <c r="K120" s="69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 x14ac:dyDescent="0.3">
      <c r="A121" s="65" t="s">
        <v>98</v>
      </c>
      <c r="B121" s="68"/>
      <c r="C121" s="68">
        <v>0.15</v>
      </c>
      <c r="D121" s="67">
        <f t="shared" si="14"/>
        <v>0</v>
      </c>
      <c r="E121" s="11"/>
      <c r="F121" s="17"/>
      <c r="G121" s="17"/>
      <c r="H121" s="17"/>
      <c r="I121" s="69"/>
      <c r="J121" s="69"/>
      <c r="K121" s="69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 x14ac:dyDescent="0.3">
      <c r="A122" s="65" t="s">
        <v>99</v>
      </c>
      <c r="B122" s="68">
        <v>96</v>
      </c>
      <c r="C122" s="68">
        <v>0.57999999999999996</v>
      </c>
      <c r="D122" s="67">
        <f t="shared" si="14"/>
        <v>55.679999999999993</v>
      </c>
      <c r="E122" s="11"/>
      <c r="F122" s="17"/>
      <c r="G122" s="17"/>
      <c r="H122" s="17"/>
      <c r="I122" s="69"/>
      <c r="J122" s="69"/>
      <c r="K122" s="69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 x14ac:dyDescent="0.3">
      <c r="A123" s="65"/>
      <c r="B123" s="68"/>
      <c r="C123" s="68"/>
      <c r="D123" s="67"/>
      <c r="E123" s="11"/>
      <c r="F123" s="17"/>
      <c r="G123" s="17"/>
      <c r="H123" s="17"/>
      <c r="I123" s="69"/>
      <c r="J123" s="69"/>
      <c r="K123" s="69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 x14ac:dyDescent="0.3">
      <c r="A124" s="49"/>
      <c r="B124" s="22"/>
      <c r="C124" s="22"/>
      <c r="D124" s="23"/>
      <c r="E124" s="11"/>
      <c r="F124" s="17"/>
      <c r="G124" s="17"/>
      <c r="H124" s="17"/>
      <c r="I124" s="18"/>
      <c r="J124" s="19"/>
      <c r="K124" s="19"/>
      <c r="L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 x14ac:dyDescent="0.3">
      <c r="A125" s="70" t="s">
        <v>100</v>
      </c>
      <c r="B125" s="71"/>
      <c r="C125" s="71"/>
      <c r="D125" s="72"/>
      <c r="E125" s="11"/>
      <c r="F125" s="17"/>
      <c r="G125" s="17"/>
      <c r="H125" s="17"/>
      <c r="I125" s="18"/>
      <c r="J125" s="19"/>
      <c r="K125" s="19"/>
      <c r="L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 x14ac:dyDescent="0.3">
      <c r="A126" s="70" t="s">
        <v>101</v>
      </c>
      <c r="B126" s="73"/>
      <c r="C126" s="73">
        <v>1.37</v>
      </c>
      <c r="D126" s="72">
        <f t="shared" ref="D126:D145" si="15">SUM(B126*C126)</f>
        <v>0</v>
      </c>
      <c r="E126" s="11"/>
      <c r="F126" s="17"/>
      <c r="G126" s="17"/>
      <c r="H126" s="17"/>
      <c r="I126" s="18"/>
      <c r="J126" s="19"/>
      <c r="K126" s="19"/>
      <c r="L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 x14ac:dyDescent="0.3">
      <c r="A127" s="70" t="s">
        <v>189</v>
      </c>
      <c r="B127" s="73">
        <v>107</v>
      </c>
      <c r="C127" s="73">
        <v>1.66</v>
      </c>
      <c r="D127" s="72">
        <f t="shared" si="15"/>
        <v>177.62</v>
      </c>
      <c r="E127" s="11"/>
      <c r="F127" s="17"/>
      <c r="G127" s="17"/>
      <c r="H127" s="17"/>
      <c r="I127" s="18"/>
      <c r="J127" s="19"/>
      <c r="K127" s="19"/>
      <c r="L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 x14ac:dyDescent="0.3">
      <c r="A128" s="70" t="s">
        <v>102</v>
      </c>
      <c r="B128" s="73">
        <v>32</v>
      </c>
      <c r="C128" s="73">
        <v>1.37</v>
      </c>
      <c r="D128" s="72">
        <f t="shared" si="15"/>
        <v>43.84</v>
      </c>
      <c r="E128" s="11"/>
      <c r="F128" s="17"/>
      <c r="G128" s="17"/>
      <c r="H128" s="17"/>
      <c r="I128" s="18"/>
      <c r="J128" s="19"/>
      <c r="K128" s="19"/>
      <c r="L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 x14ac:dyDescent="0.3">
      <c r="A129" s="70" t="s">
        <v>103</v>
      </c>
      <c r="B129" s="73">
        <v>8</v>
      </c>
      <c r="C129" s="73">
        <v>1.19</v>
      </c>
      <c r="D129" s="72">
        <f t="shared" si="15"/>
        <v>9.52</v>
      </c>
      <c r="E129" s="11"/>
      <c r="F129" s="17"/>
      <c r="G129" s="17"/>
      <c r="H129" s="17"/>
      <c r="I129" s="18"/>
      <c r="J129" s="19"/>
      <c r="K129" s="19"/>
      <c r="L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 x14ac:dyDescent="0.3">
      <c r="A130" s="70" t="s">
        <v>104</v>
      </c>
      <c r="B130" s="73">
        <v>18</v>
      </c>
      <c r="C130" s="73">
        <v>1.08</v>
      </c>
      <c r="D130" s="72">
        <f t="shared" si="15"/>
        <v>19.440000000000001</v>
      </c>
      <c r="E130" s="11"/>
      <c r="F130" s="17"/>
      <c r="G130" s="17"/>
      <c r="H130" s="17"/>
      <c r="I130" s="18"/>
      <c r="J130" s="19"/>
      <c r="K130" s="19"/>
      <c r="L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 x14ac:dyDescent="0.3">
      <c r="A131" s="70" t="s">
        <v>105</v>
      </c>
      <c r="B131" s="73"/>
      <c r="C131" s="73">
        <v>0.94</v>
      </c>
      <c r="D131" s="72">
        <f t="shared" si="15"/>
        <v>0</v>
      </c>
      <c r="E131" s="11"/>
      <c r="F131" s="17"/>
      <c r="G131" s="17"/>
      <c r="H131" s="17"/>
      <c r="I131" s="18"/>
      <c r="J131" s="19"/>
      <c r="K131" s="19"/>
      <c r="L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 x14ac:dyDescent="0.3">
      <c r="A132" s="70" t="s">
        <v>106</v>
      </c>
      <c r="B132" s="73"/>
      <c r="C132" s="73">
        <v>0.94</v>
      </c>
      <c r="D132" s="72">
        <f t="shared" si="15"/>
        <v>0</v>
      </c>
      <c r="E132" s="11"/>
      <c r="F132" s="17"/>
      <c r="G132" s="17"/>
      <c r="H132" s="17"/>
      <c r="I132" s="18"/>
      <c r="J132" s="19"/>
      <c r="K132" s="19"/>
      <c r="L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 x14ac:dyDescent="0.3">
      <c r="A133" s="70" t="s">
        <v>107</v>
      </c>
      <c r="B133" s="73">
        <v>21</v>
      </c>
      <c r="C133" s="73">
        <v>1.75</v>
      </c>
      <c r="D133" s="72">
        <f t="shared" si="15"/>
        <v>36.75</v>
      </c>
      <c r="E133" s="11"/>
      <c r="F133" s="17"/>
      <c r="G133" s="17"/>
      <c r="H133" s="17"/>
      <c r="I133" s="18"/>
      <c r="J133" s="19"/>
      <c r="K133" s="19"/>
      <c r="L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 x14ac:dyDescent="0.3">
      <c r="A134" s="70" t="s">
        <v>108</v>
      </c>
      <c r="B134" s="73">
        <v>26</v>
      </c>
      <c r="C134" s="73">
        <v>1.7</v>
      </c>
      <c r="D134" s="72">
        <f t="shared" si="15"/>
        <v>44.199999999999996</v>
      </c>
      <c r="E134" s="11"/>
      <c r="F134" s="17"/>
      <c r="G134" s="17"/>
      <c r="H134" s="17"/>
      <c r="I134" s="18"/>
      <c r="J134" s="19"/>
      <c r="K134" s="19"/>
      <c r="L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 x14ac:dyDescent="0.3">
      <c r="A135" s="70" t="s">
        <v>109</v>
      </c>
      <c r="B135" s="73">
        <v>40</v>
      </c>
      <c r="C135" s="73">
        <v>1.02</v>
      </c>
      <c r="D135" s="72">
        <f t="shared" si="15"/>
        <v>40.799999999999997</v>
      </c>
      <c r="E135" s="11"/>
      <c r="F135" s="17"/>
      <c r="G135" s="17"/>
      <c r="H135" s="17"/>
      <c r="I135" s="18"/>
      <c r="J135" s="19"/>
      <c r="K135" s="19"/>
      <c r="L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 x14ac:dyDescent="0.3">
      <c r="A136" s="70" t="s">
        <v>110</v>
      </c>
      <c r="B136" s="73"/>
      <c r="C136" s="73">
        <v>1.33</v>
      </c>
      <c r="D136" s="72">
        <f t="shared" si="15"/>
        <v>0</v>
      </c>
      <c r="E136" s="11"/>
      <c r="F136" s="17"/>
      <c r="G136" s="17"/>
      <c r="H136" s="17"/>
      <c r="I136" s="18"/>
      <c r="J136" s="19"/>
      <c r="K136" s="19"/>
      <c r="L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 x14ac:dyDescent="0.3">
      <c r="A137" s="70" t="s">
        <v>111</v>
      </c>
      <c r="B137" s="73">
        <v>10</v>
      </c>
      <c r="C137" s="73">
        <v>2.83</v>
      </c>
      <c r="D137" s="72">
        <f t="shared" si="15"/>
        <v>28.3</v>
      </c>
      <c r="E137" s="11"/>
      <c r="F137" s="17"/>
      <c r="G137" s="17"/>
      <c r="H137" s="17"/>
      <c r="I137" s="18"/>
      <c r="J137" s="19"/>
      <c r="K137" s="19"/>
      <c r="L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 x14ac:dyDescent="0.3">
      <c r="A138" s="70" t="s">
        <v>112</v>
      </c>
      <c r="B138" s="73">
        <v>9</v>
      </c>
      <c r="C138" s="73">
        <v>3.27</v>
      </c>
      <c r="D138" s="72">
        <f t="shared" si="15"/>
        <v>29.43</v>
      </c>
      <c r="E138" s="11"/>
      <c r="F138" s="17"/>
      <c r="G138" s="17"/>
      <c r="H138" s="17"/>
      <c r="I138" s="18"/>
      <c r="J138" s="19"/>
      <c r="K138" s="19"/>
      <c r="L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 x14ac:dyDescent="0.3">
      <c r="A139" s="70" t="s">
        <v>113</v>
      </c>
      <c r="B139" s="73">
        <v>4</v>
      </c>
      <c r="C139" s="73">
        <v>3.34</v>
      </c>
      <c r="D139" s="72">
        <f t="shared" si="15"/>
        <v>13.36</v>
      </c>
      <c r="E139" s="11"/>
      <c r="F139" s="17"/>
      <c r="G139" s="17"/>
      <c r="H139" s="17"/>
      <c r="I139" s="18"/>
      <c r="J139" s="19"/>
      <c r="K139" s="19"/>
      <c r="L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 x14ac:dyDescent="0.3">
      <c r="A140" s="70" t="s">
        <v>172</v>
      </c>
      <c r="B140" s="73">
        <v>21</v>
      </c>
      <c r="C140" s="73">
        <f>24/12</f>
        <v>2</v>
      </c>
      <c r="D140" s="72">
        <f t="shared" si="15"/>
        <v>42</v>
      </c>
      <c r="E140" s="11"/>
      <c r="F140" s="17"/>
      <c r="G140" s="17"/>
      <c r="H140" s="17"/>
      <c r="I140" s="18"/>
      <c r="J140" s="19"/>
      <c r="K140" s="19"/>
      <c r="L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 x14ac:dyDescent="0.3">
      <c r="A141" s="70" t="s">
        <v>173</v>
      </c>
      <c r="B141" s="73">
        <v>11</v>
      </c>
      <c r="C141" s="73">
        <f>25/12</f>
        <v>2.0833333333333335</v>
      </c>
      <c r="D141" s="72">
        <f t="shared" si="15"/>
        <v>22.916666666666668</v>
      </c>
      <c r="E141" s="11"/>
      <c r="F141" s="17"/>
      <c r="G141" s="17"/>
      <c r="H141" s="17"/>
      <c r="I141" s="18"/>
      <c r="J141" s="19"/>
      <c r="K141" s="19"/>
      <c r="L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 x14ac:dyDescent="0.3">
      <c r="A142" s="70" t="s">
        <v>190</v>
      </c>
      <c r="B142" s="73">
        <v>48</v>
      </c>
      <c r="C142" s="73">
        <v>1.21</v>
      </c>
      <c r="D142" s="72">
        <f t="shared" si="15"/>
        <v>58.08</v>
      </c>
      <c r="E142" s="11"/>
      <c r="F142" s="17"/>
      <c r="G142" s="17"/>
      <c r="H142" s="17"/>
      <c r="I142" s="18"/>
      <c r="J142" s="19"/>
      <c r="K142" s="19"/>
      <c r="L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 x14ac:dyDescent="0.3">
      <c r="A143" s="70" t="s">
        <v>174</v>
      </c>
      <c r="B143" s="73"/>
      <c r="C143" s="73">
        <v>1.7</v>
      </c>
      <c r="D143" s="72">
        <f t="shared" si="15"/>
        <v>0</v>
      </c>
      <c r="E143" s="11"/>
      <c r="F143" s="17"/>
      <c r="G143" s="17"/>
      <c r="H143" s="17"/>
      <c r="I143" s="18"/>
      <c r="J143" s="19"/>
      <c r="K143" s="19"/>
      <c r="L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 x14ac:dyDescent="0.3">
      <c r="A144" s="70" t="s">
        <v>175</v>
      </c>
      <c r="B144" s="73"/>
      <c r="C144" s="73">
        <f>SUM(20.4/12)</f>
        <v>1.7</v>
      </c>
      <c r="D144" s="72">
        <f t="shared" si="15"/>
        <v>0</v>
      </c>
      <c r="E144" s="11"/>
      <c r="F144" s="17"/>
      <c r="G144" s="17"/>
      <c r="H144" s="17"/>
      <c r="I144" s="18"/>
      <c r="J144" s="19"/>
      <c r="K144" s="19"/>
      <c r="L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 x14ac:dyDescent="0.3">
      <c r="A145" s="70" t="s">
        <v>176</v>
      </c>
      <c r="B145" s="73"/>
      <c r="C145" s="73">
        <f>14.5/12</f>
        <v>1.2083333333333333</v>
      </c>
      <c r="D145" s="72">
        <f t="shared" si="15"/>
        <v>0</v>
      </c>
      <c r="E145" s="11"/>
      <c r="F145" s="17"/>
      <c r="G145" s="17"/>
      <c r="H145" s="17"/>
      <c r="I145" s="18"/>
      <c r="J145" s="19"/>
      <c r="K145" s="19"/>
      <c r="L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 x14ac:dyDescent="0.25">
      <c r="A146" s="21"/>
      <c r="B146" s="22"/>
      <c r="C146" s="22"/>
      <c r="D146" s="23"/>
      <c r="E146" s="11"/>
      <c r="F146" s="17"/>
      <c r="G146" s="17"/>
      <c r="H146" s="17"/>
      <c r="I146" s="18"/>
      <c r="J146" s="19"/>
      <c r="K146" s="19"/>
      <c r="L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 x14ac:dyDescent="0.3">
      <c r="A147" s="74" t="s">
        <v>114</v>
      </c>
      <c r="B147" s="75"/>
      <c r="C147" s="75"/>
      <c r="D147" s="75"/>
      <c r="E147" s="11"/>
      <c r="F147" s="17"/>
      <c r="G147" s="17"/>
      <c r="H147" s="17"/>
      <c r="I147" s="18"/>
      <c r="J147" s="19"/>
      <c r="K147" s="19"/>
      <c r="L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 x14ac:dyDescent="0.3">
      <c r="A148" s="74" t="s">
        <v>115</v>
      </c>
      <c r="B148" s="76">
        <v>2.25</v>
      </c>
      <c r="C148" s="75">
        <f>26.53*1.2</f>
        <v>31.835999999999999</v>
      </c>
      <c r="D148" s="77">
        <f t="shared" ref="D148:D158" si="16">SUM(B148*C148)</f>
        <v>71.631</v>
      </c>
      <c r="E148" s="11"/>
      <c r="F148" s="17"/>
      <c r="G148" s="17"/>
      <c r="H148" s="17"/>
      <c r="I148" s="18"/>
      <c r="J148" s="19"/>
      <c r="K148" s="19"/>
      <c r="L148" s="2"/>
      <c r="M148" s="105" t="s">
        <v>116</v>
      </c>
      <c r="N148" s="102"/>
      <c r="O148" s="103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 x14ac:dyDescent="0.3">
      <c r="A149" s="74" t="s">
        <v>117</v>
      </c>
      <c r="B149" s="76">
        <v>1</v>
      </c>
      <c r="C149" s="75">
        <f>33.72*1.2</f>
        <v>40.463999999999999</v>
      </c>
      <c r="D149" s="77">
        <f t="shared" si="16"/>
        <v>40.463999999999999</v>
      </c>
      <c r="E149" s="11"/>
      <c r="F149" s="17"/>
      <c r="G149" s="17"/>
      <c r="H149" s="17"/>
      <c r="I149" s="18"/>
      <c r="J149" s="19"/>
      <c r="K149" s="19"/>
      <c r="L149" s="2"/>
      <c r="M149" s="78" t="s">
        <v>118</v>
      </c>
      <c r="N149" s="78" t="s">
        <v>8</v>
      </c>
      <c r="O149" s="78" t="s">
        <v>9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 x14ac:dyDescent="0.3">
      <c r="A150" s="74" t="s">
        <v>195</v>
      </c>
      <c r="B150" s="76"/>
      <c r="C150" s="75">
        <v>41</v>
      </c>
      <c r="D150" s="77">
        <f t="shared" si="16"/>
        <v>0</v>
      </c>
      <c r="E150" s="11"/>
      <c r="F150" s="17"/>
      <c r="G150" s="17"/>
      <c r="H150" s="17"/>
      <c r="I150" s="18"/>
      <c r="J150" s="19"/>
      <c r="K150" s="19"/>
      <c r="L150" s="2"/>
      <c r="M150" s="78"/>
      <c r="N150" s="78"/>
      <c r="O150" s="78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 x14ac:dyDescent="0.3">
      <c r="A151" s="74" t="s">
        <v>177</v>
      </c>
      <c r="B151" s="76"/>
      <c r="C151" s="75">
        <f>37.17*1.2</f>
        <v>44.603999999999999</v>
      </c>
      <c r="D151" s="77">
        <f t="shared" si="16"/>
        <v>0</v>
      </c>
      <c r="E151" s="11"/>
      <c r="F151" s="17"/>
      <c r="G151" s="17"/>
      <c r="H151" s="17"/>
      <c r="I151" s="18"/>
      <c r="J151" s="19"/>
      <c r="K151" s="19"/>
      <c r="L151" s="2"/>
      <c r="M151" s="78"/>
      <c r="N151" s="78"/>
      <c r="O151" s="78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 x14ac:dyDescent="0.3">
      <c r="A152" s="74" t="s">
        <v>119</v>
      </c>
      <c r="B152" s="76"/>
      <c r="C152" s="75">
        <f>19.59*1.2</f>
        <v>23.507999999999999</v>
      </c>
      <c r="D152" s="77">
        <f t="shared" si="16"/>
        <v>0</v>
      </c>
      <c r="E152" s="11"/>
      <c r="F152" s="17"/>
      <c r="G152" s="17"/>
      <c r="H152" s="17"/>
      <c r="I152" s="18"/>
      <c r="J152" s="19"/>
      <c r="K152" s="19"/>
      <c r="L152" s="2"/>
      <c r="M152" s="78" t="s">
        <v>120</v>
      </c>
      <c r="N152" s="79"/>
      <c r="O152" s="78">
        <f>SUM(284/36819)*N152</f>
        <v>0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 x14ac:dyDescent="0.3">
      <c r="A153" s="74" t="s">
        <v>180</v>
      </c>
      <c r="B153" s="76"/>
      <c r="C153" s="75">
        <f>49*1.2</f>
        <v>58.8</v>
      </c>
      <c r="D153" s="77">
        <f t="shared" si="16"/>
        <v>0</v>
      </c>
      <c r="E153" s="11"/>
      <c r="F153" s="17"/>
      <c r="G153" s="17"/>
      <c r="H153" s="17"/>
      <c r="I153" s="18"/>
      <c r="J153" s="19"/>
      <c r="K153" s="19"/>
      <c r="L153" s="2"/>
      <c r="M153" s="78" t="s">
        <v>121</v>
      </c>
      <c r="N153" s="79"/>
      <c r="O153" s="78">
        <f>SUM(568/36819)*N153</f>
        <v>0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 x14ac:dyDescent="0.3">
      <c r="A154" s="74" t="s">
        <v>122</v>
      </c>
      <c r="B154" s="76"/>
      <c r="C154" s="75">
        <v>90</v>
      </c>
      <c r="D154" s="77">
        <f t="shared" si="16"/>
        <v>0</v>
      </c>
      <c r="E154" s="11"/>
      <c r="F154" s="17"/>
      <c r="G154" s="17"/>
      <c r="H154" s="17"/>
      <c r="I154" s="18"/>
      <c r="J154" s="19"/>
      <c r="K154" s="19"/>
      <c r="L154" s="2"/>
      <c r="M154" s="78" t="s">
        <v>123</v>
      </c>
      <c r="N154" s="79"/>
      <c r="O154" s="78">
        <f>SUM(1100/36819)*N154</f>
        <v>0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 x14ac:dyDescent="0.3">
      <c r="A155" s="74" t="s">
        <v>178</v>
      </c>
      <c r="B155" s="76"/>
      <c r="C155" s="75">
        <f>44.81*1.2</f>
        <v>53.771999999999998</v>
      </c>
      <c r="D155" s="77">
        <f t="shared" si="16"/>
        <v>0</v>
      </c>
      <c r="E155" s="11"/>
      <c r="F155" s="17"/>
      <c r="G155" s="17"/>
      <c r="H155" s="17"/>
      <c r="I155" s="18"/>
      <c r="J155" s="19"/>
      <c r="K155" s="19"/>
      <c r="L155" s="2"/>
      <c r="M155" s="78"/>
      <c r="N155" s="78" t="s">
        <v>20</v>
      </c>
      <c r="O155" s="78">
        <f>SUM(O152+O153+O154)</f>
        <v>0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 x14ac:dyDescent="0.3">
      <c r="A156" s="74" t="s">
        <v>124</v>
      </c>
      <c r="B156" s="76"/>
      <c r="C156" s="75">
        <f>29.69*1.2</f>
        <v>35.628</v>
      </c>
      <c r="D156" s="77">
        <f t="shared" si="16"/>
        <v>0</v>
      </c>
      <c r="E156" s="11"/>
      <c r="F156" s="17"/>
      <c r="G156" s="17"/>
      <c r="H156" s="17"/>
      <c r="I156" s="18"/>
      <c r="J156" s="19"/>
      <c r="K156" s="19"/>
      <c r="L156" s="2"/>
      <c r="M156" s="80"/>
      <c r="N156" s="80"/>
      <c r="O156" s="80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 x14ac:dyDescent="0.3">
      <c r="A157" s="74" t="s">
        <v>194</v>
      </c>
      <c r="B157" s="76">
        <v>2</v>
      </c>
      <c r="C157" s="75">
        <v>40</v>
      </c>
      <c r="D157" s="77">
        <f t="shared" si="16"/>
        <v>80</v>
      </c>
      <c r="E157" s="11"/>
      <c r="F157" s="17"/>
      <c r="G157" s="17"/>
      <c r="H157" s="17"/>
      <c r="I157" s="18"/>
      <c r="J157" s="19"/>
      <c r="K157" s="19"/>
      <c r="L157" s="2"/>
      <c r="M157" s="80"/>
      <c r="N157" s="80"/>
      <c r="O157" s="80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 x14ac:dyDescent="0.3">
      <c r="A158" s="74" t="s">
        <v>125</v>
      </c>
      <c r="B158" s="76"/>
      <c r="C158" s="75">
        <f>30.1*1.2</f>
        <v>36.119999999999997</v>
      </c>
      <c r="D158" s="77">
        <f t="shared" si="16"/>
        <v>0</v>
      </c>
      <c r="E158" s="11"/>
      <c r="F158" s="17"/>
      <c r="G158" s="17"/>
      <c r="H158" s="17"/>
      <c r="I158" s="18"/>
      <c r="J158" s="19"/>
      <c r="K158" s="19"/>
      <c r="L158" s="2"/>
      <c r="M158" s="80"/>
      <c r="N158" s="80"/>
      <c r="O158" s="80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 x14ac:dyDescent="0.3">
      <c r="A159" s="74" t="s">
        <v>193</v>
      </c>
      <c r="B159" s="76">
        <v>3</v>
      </c>
      <c r="C159" s="75">
        <v>37</v>
      </c>
      <c r="D159" s="77">
        <f t="shared" ref="D159" si="17">SUM(B159*C159)</f>
        <v>111</v>
      </c>
      <c r="E159" s="11"/>
      <c r="F159" s="17"/>
      <c r="G159" s="17"/>
      <c r="H159" s="17"/>
      <c r="I159" s="18"/>
      <c r="J159" s="19"/>
      <c r="K159" s="19"/>
      <c r="L159" s="2"/>
      <c r="M159" s="80"/>
      <c r="N159" s="80"/>
      <c r="O159" s="80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 x14ac:dyDescent="0.25">
      <c r="A160" s="21"/>
      <c r="B160" s="22"/>
      <c r="C160" s="22"/>
      <c r="D160" s="23"/>
      <c r="E160" s="11"/>
      <c r="F160" s="17"/>
      <c r="G160" s="17"/>
      <c r="H160" s="17"/>
      <c r="I160" s="18"/>
      <c r="J160" s="19"/>
      <c r="K160" s="19"/>
      <c r="L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 x14ac:dyDescent="0.3">
      <c r="A161" s="81" t="s">
        <v>126</v>
      </c>
      <c r="B161" s="82"/>
      <c r="C161" s="82"/>
      <c r="D161" s="82"/>
      <c r="E161" s="11"/>
      <c r="F161" s="17"/>
      <c r="G161" s="17"/>
      <c r="H161" s="17"/>
      <c r="I161" s="18"/>
      <c r="J161" s="19"/>
      <c r="K161" s="19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 x14ac:dyDescent="0.3">
      <c r="A162" s="81" t="s">
        <v>127</v>
      </c>
      <c r="B162" s="83">
        <v>3.5</v>
      </c>
      <c r="C162" s="82">
        <f>43.36*1.2</f>
        <v>52.031999999999996</v>
      </c>
      <c r="D162" s="84">
        <f t="shared" ref="D162:D167" si="18">SUM(B162*C162)</f>
        <v>182.11199999999999</v>
      </c>
      <c r="E162" s="11"/>
      <c r="F162" s="17"/>
      <c r="G162" s="17"/>
      <c r="H162" s="17"/>
      <c r="I162" s="18"/>
      <c r="J162" s="19"/>
      <c r="K162" s="19"/>
      <c r="L162" s="2"/>
      <c r="M162" s="85" t="s">
        <v>118</v>
      </c>
      <c r="N162" s="85" t="s">
        <v>8</v>
      </c>
      <c r="O162" s="85" t="s">
        <v>9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 x14ac:dyDescent="0.3">
      <c r="A163" s="81" t="s">
        <v>181</v>
      </c>
      <c r="B163" s="83"/>
      <c r="C163" s="82">
        <f>47.21*1.2</f>
        <v>56.652000000000001</v>
      </c>
      <c r="D163" s="84">
        <f t="shared" si="18"/>
        <v>0</v>
      </c>
      <c r="E163" s="11"/>
      <c r="F163" s="17"/>
      <c r="G163" s="17"/>
      <c r="H163" s="17"/>
      <c r="I163" s="18"/>
      <c r="J163" s="19"/>
      <c r="K163" s="19"/>
      <c r="L163" s="2"/>
      <c r="M163" s="106" t="s">
        <v>128</v>
      </c>
      <c r="N163" s="102"/>
      <c r="O163" s="103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 x14ac:dyDescent="0.3">
      <c r="A164" s="81" t="s">
        <v>129</v>
      </c>
      <c r="B164" s="83">
        <v>2</v>
      </c>
      <c r="C164" s="82">
        <f>39.45*1.2</f>
        <v>47.34</v>
      </c>
      <c r="D164" s="84">
        <f t="shared" si="18"/>
        <v>94.68</v>
      </c>
      <c r="E164" s="11"/>
      <c r="F164" s="17"/>
      <c r="G164" s="17"/>
      <c r="H164" s="17"/>
      <c r="I164" s="18"/>
      <c r="J164" s="19"/>
      <c r="K164" s="19"/>
      <c r="L164" s="2"/>
      <c r="M164" s="86"/>
      <c r="N164" s="86"/>
      <c r="O164" s="86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 x14ac:dyDescent="0.3">
      <c r="A165" s="81" t="s">
        <v>192</v>
      </c>
      <c r="B165" s="83">
        <v>1.5</v>
      </c>
      <c r="C165" s="82">
        <v>48</v>
      </c>
      <c r="D165" s="84">
        <f>SUM(B165*C165)</f>
        <v>72</v>
      </c>
      <c r="E165" s="11"/>
      <c r="F165" s="17"/>
      <c r="G165" s="17"/>
      <c r="H165" s="17"/>
      <c r="I165" s="18"/>
      <c r="J165" s="19"/>
      <c r="K165" s="19"/>
      <c r="L165" s="2"/>
      <c r="M165" s="86"/>
      <c r="N165" s="86"/>
      <c r="O165" s="86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 x14ac:dyDescent="0.3">
      <c r="A166" s="81" t="s">
        <v>130</v>
      </c>
      <c r="B166" s="83"/>
      <c r="C166" s="82">
        <v>0</v>
      </c>
      <c r="D166" s="84">
        <f t="shared" si="18"/>
        <v>0</v>
      </c>
      <c r="E166" s="11"/>
      <c r="F166" s="17"/>
      <c r="G166" s="17"/>
      <c r="H166" s="17"/>
      <c r="I166" s="18"/>
      <c r="J166" s="19"/>
      <c r="K166" s="19"/>
      <c r="L166" s="2"/>
      <c r="M166" s="86"/>
      <c r="N166" s="86"/>
      <c r="O166" s="86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 x14ac:dyDescent="0.3">
      <c r="A167" s="81" t="s">
        <v>182</v>
      </c>
      <c r="B167" s="83">
        <v>1.5</v>
      </c>
      <c r="C167" s="82">
        <f>56.37*1.2</f>
        <v>67.643999999999991</v>
      </c>
      <c r="D167" s="84">
        <f t="shared" si="18"/>
        <v>101.46599999999998</v>
      </c>
      <c r="E167" s="11"/>
      <c r="F167" s="17"/>
      <c r="G167" s="17"/>
      <c r="H167" s="17"/>
      <c r="I167" s="18"/>
      <c r="J167" s="19"/>
      <c r="K167" s="19"/>
      <c r="L167" s="2"/>
      <c r="M167" s="85"/>
      <c r="N167" s="85" t="s">
        <v>20</v>
      </c>
      <c r="O167" s="85">
        <f>SUM(O173+O174+O168)</f>
        <v>0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 x14ac:dyDescent="0.3">
      <c r="A168" s="81" t="s">
        <v>131</v>
      </c>
      <c r="B168" s="83"/>
      <c r="C168" s="82">
        <v>150</v>
      </c>
      <c r="D168" s="84">
        <f t="shared" ref="D168:D181" si="19">SUM(B168*C168)</f>
        <v>0</v>
      </c>
      <c r="E168" s="11"/>
      <c r="F168" s="17"/>
      <c r="G168" s="17"/>
      <c r="H168" s="17"/>
      <c r="I168" s="18"/>
      <c r="J168" s="19"/>
      <c r="K168" s="19"/>
      <c r="L168" s="2"/>
      <c r="M168" s="85" t="s">
        <v>123</v>
      </c>
      <c r="N168" s="85"/>
      <c r="O168" s="85">
        <f>SUM(1100/27000)*N168</f>
        <v>0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 x14ac:dyDescent="0.3">
      <c r="A169" s="81" t="s">
        <v>183</v>
      </c>
      <c r="B169" s="83">
        <v>1.5</v>
      </c>
      <c r="C169" s="82">
        <v>52</v>
      </c>
      <c r="D169" s="84">
        <f t="shared" si="19"/>
        <v>78</v>
      </c>
      <c r="E169" s="11"/>
      <c r="F169" s="17"/>
      <c r="G169" s="17"/>
      <c r="H169" s="17"/>
      <c r="I169" s="18"/>
      <c r="J169" s="19"/>
      <c r="K169" s="19"/>
      <c r="L169" s="2"/>
      <c r="M169" s="85"/>
      <c r="N169" s="85"/>
      <c r="O169" s="85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 x14ac:dyDescent="0.3">
      <c r="A170" s="81" t="s">
        <v>191</v>
      </c>
      <c r="B170" s="83">
        <v>1</v>
      </c>
      <c r="C170" s="82">
        <v>52</v>
      </c>
      <c r="D170" s="84">
        <f t="shared" si="19"/>
        <v>52</v>
      </c>
      <c r="E170" s="11"/>
      <c r="F170" s="17"/>
      <c r="G170" s="17"/>
      <c r="H170" s="17"/>
      <c r="I170" s="18"/>
      <c r="J170" s="19"/>
      <c r="K170" s="19"/>
      <c r="L170" s="2"/>
      <c r="M170" s="85"/>
      <c r="N170" s="85"/>
      <c r="O170" s="85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 x14ac:dyDescent="0.3">
      <c r="A171" s="81" t="s">
        <v>132</v>
      </c>
      <c r="B171" s="83">
        <v>0.5</v>
      </c>
      <c r="C171" s="82">
        <f>42.5*1.2</f>
        <v>51</v>
      </c>
      <c r="D171" s="84">
        <f t="shared" si="19"/>
        <v>25.5</v>
      </c>
      <c r="E171" s="11"/>
      <c r="F171" s="17"/>
      <c r="G171" s="17"/>
      <c r="H171" s="17"/>
      <c r="I171" s="18"/>
      <c r="J171" s="19"/>
      <c r="K171" s="19"/>
      <c r="L171" s="2"/>
      <c r="M171" s="85"/>
      <c r="N171" s="85"/>
      <c r="O171" s="85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 x14ac:dyDescent="0.3">
      <c r="A172" s="81" t="s">
        <v>133</v>
      </c>
      <c r="B172" s="83">
        <v>6.5</v>
      </c>
      <c r="C172" s="82">
        <v>89.44</v>
      </c>
      <c r="D172" s="84">
        <f t="shared" si="19"/>
        <v>581.36</v>
      </c>
      <c r="E172" s="11"/>
      <c r="F172" s="17"/>
      <c r="G172" s="17"/>
      <c r="H172" s="17"/>
      <c r="I172" s="18"/>
      <c r="J172" s="19"/>
      <c r="K172" s="19"/>
      <c r="L172" s="2"/>
      <c r="M172" s="85"/>
      <c r="N172" s="85"/>
      <c r="O172" s="85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 x14ac:dyDescent="0.3">
      <c r="A173" s="81" t="s">
        <v>134</v>
      </c>
      <c r="B173" s="83"/>
      <c r="C173" s="82">
        <v>95</v>
      </c>
      <c r="D173" s="84">
        <f t="shared" si="19"/>
        <v>0</v>
      </c>
      <c r="E173" s="11"/>
      <c r="F173" s="17"/>
      <c r="G173" s="17"/>
      <c r="H173" s="17"/>
      <c r="I173" s="18"/>
      <c r="J173" s="19"/>
      <c r="K173" s="19"/>
      <c r="L173" s="2"/>
      <c r="M173" s="85" t="s">
        <v>120</v>
      </c>
      <c r="N173" s="85"/>
      <c r="O173" s="85">
        <f>SUM(284/27000)*N173</f>
        <v>0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 x14ac:dyDescent="0.3">
      <c r="A174" s="81" t="s">
        <v>135</v>
      </c>
      <c r="B174" s="83"/>
      <c r="C174" s="82">
        <v>174.5</v>
      </c>
      <c r="D174" s="84">
        <f t="shared" si="19"/>
        <v>0</v>
      </c>
      <c r="E174" s="11"/>
      <c r="F174" s="17"/>
      <c r="G174" s="17"/>
      <c r="H174" s="17"/>
      <c r="I174" s="18"/>
      <c r="J174" s="19"/>
      <c r="K174" s="19"/>
      <c r="L174" s="2"/>
      <c r="M174" s="85" t="s">
        <v>121</v>
      </c>
      <c r="N174" s="85"/>
      <c r="O174" s="85">
        <f>SUM(568/27000)*N174</f>
        <v>0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 x14ac:dyDescent="0.3">
      <c r="A175" s="81" t="s">
        <v>136</v>
      </c>
      <c r="B175" s="83"/>
      <c r="C175" s="82">
        <v>125</v>
      </c>
      <c r="D175" s="84">
        <f t="shared" si="19"/>
        <v>0</v>
      </c>
      <c r="E175" s="11"/>
      <c r="F175" s="17"/>
      <c r="G175" s="17"/>
      <c r="H175" s="17"/>
      <c r="I175" s="18"/>
      <c r="J175" s="19"/>
      <c r="K175" s="19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 x14ac:dyDescent="0.3">
      <c r="A176" s="81" t="s">
        <v>137</v>
      </c>
      <c r="B176" s="83"/>
      <c r="C176" s="82">
        <f>36*1.2</f>
        <v>43.199999999999996</v>
      </c>
      <c r="D176" s="84">
        <f t="shared" si="19"/>
        <v>0</v>
      </c>
      <c r="E176" s="11"/>
      <c r="F176" s="17"/>
      <c r="G176" s="17"/>
      <c r="H176" s="17"/>
      <c r="I176" s="18"/>
      <c r="J176" s="19"/>
      <c r="K176" s="19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 x14ac:dyDescent="0.3">
      <c r="A177" s="81" t="s">
        <v>138</v>
      </c>
      <c r="B177" s="83"/>
      <c r="C177" s="82">
        <v>96</v>
      </c>
      <c r="D177" s="84">
        <f t="shared" si="19"/>
        <v>0</v>
      </c>
      <c r="E177" s="87"/>
      <c r="F177" s="17"/>
      <c r="G177" s="17"/>
      <c r="H177" s="17"/>
      <c r="I177" s="18"/>
      <c r="J177" s="19"/>
      <c r="K177" s="19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 x14ac:dyDescent="0.3">
      <c r="A178" s="81" t="s">
        <v>139</v>
      </c>
      <c r="B178" s="83"/>
      <c r="C178" s="82">
        <v>140</v>
      </c>
      <c r="D178" s="84">
        <f t="shared" si="19"/>
        <v>0</v>
      </c>
      <c r="E178" s="87"/>
      <c r="F178" s="17"/>
      <c r="G178" s="17"/>
      <c r="H178" s="17"/>
      <c r="I178" s="18"/>
      <c r="J178" s="19"/>
      <c r="K178" s="19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 x14ac:dyDescent="0.3">
      <c r="A179" s="81" t="s">
        <v>140</v>
      </c>
      <c r="B179" s="83">
        <v>8.75</v>
      </c>
      <c r="C179" s="82">
        <v>98</v>
      </c>
      <c r="D179" s="84">
        <f t="shared" si="19"/>
        <v>857.5</v>
      </c>
      <c r="E179" s="87"/>
      <c r="F179" s="17"/>
      <c r="G179" s="17"/>
      <c r="H179" s="17"/>
      <c r="I179" s="18"/>
      <c r="J179" s="19"/>
      <c r="K179" s="19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 x14ac:dyDescent="0.3">
      <c r="A180" s="81" t="s">
        <v>141</v>
      </c>
      <c r="B180" s="83">
        <v>2</v>
      </c>
      <c r="C180" s="82">
        <v>79</v>
      </c>
      <c r="D180" s="84">
        <f t="shared" si="19"/>
        <v>158</v>
      </c>
      <c r="E180" s="87"/>
      <c r="F180" s="17"/>
      <c r="G180" s="17"/>
      <c r="H180" s="17"/>
      <c r="I180" s="18"/>
      <c r="J180" s="19"/>
      <c r="K180" s="19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 x14ac:dyDescent="0.3">
      <c r="A181" s="81" t="s">
        <v>142</v>
      </c>
      <c r="B181" s="83">
        <v>1</v>
      </c>
      <c r="C181" s="82">
        <f>65.44*1.2</f>
        <v>78.527999999999992</v>
      </c>
      <c r="D181" s="84">
        <f t="shared" si="19"/>
        <v>78.527999999999992</v>
      </c>
      <c r="E181" s="87"/>
      <c r="F181" s="17"/>
      <c r="G181" s="17"/>
      <c r="H181" s="17"/>
      <c r="I181" s="18"/>
      <c r="J181" s="19"/>
      <c r="K181" s="19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 x14ac:dyDescent="0.25">
      <c r="A182" s="21"/>
      <c r="B182" s="22"/>
      <c r="C182" s="22"/>
      <c r="D182" s="23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 x14ac:dyDescent="0.3">
      <c r="A183" s="88" t="s">
        <v>143</v>
      </c>
      <c r="B183" s="89"/>
      <c r="C183" s="89"/>
      <c r="D183" s="89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 x14ac:dyDescent="0.3">
      <c r="A184" s="88" t="s">
        <v>144</v>
      </c>
      <c r="B184" s="90">
        <v>0.8</v>
      </c>
      <c r="C184" s="89">
        <v>49.64</v>
      </c>
      <c r="D184" s="91">
        <f t="shared" ref="D184:D187" si="20">SUM(B184*C184)</f>
        <v>39.712000000000003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 x14ac:dyDescent="0.3">
      <c r="A185" s="88" t="s">
        <v>145</v>
      </c>
      <c r="B185" s="90">
        <v>0.3</v>
      </c>
      <c r="C185" s="89">
        <v>49.64</v>
      </c>
      <c r="D185" s="91">
        <f t="shared" si="20"/>
        <v>14.891999999999999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 x14ac:dyDescent="0.3">
      <c r="A186" s="88" t="s">
        <v>146</v>
      </c>
      <c r="B186" s="90">
        <v>1.3</v>
      </c>
      <c r="C186" s="89">
        <v>49.64</v>
      </c>
      <c r="D186" s="91">
        <f t="shared" si="20"/>
        <v>64.531999999999996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 x14ac:dyDescent="0.3">
      <c r="A187" s="88" t="s">
        <v>147</v>
      </c>
      <c r="B187" s="90">
        <v>1.1000000000000001</v>
      </c>
      <c r="C187" s="89">
        <v>49.64</v>
      </c>
      <c r="D187" s="91">
        <f t="shared" si="20"/>
        <v>54.604000000000006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 x14ac:dyDescent="0.25">
      <c r="A188" s="2"/>
      <c r="B188" s="92"/>
      <c r="C188" s="92"/>
      <c r="D188" s="23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 x14ac:dyDescent="0.25">
      <c r="A189" s="93" t="s">
        <v>148</v>
      </c>
      <c r="B189" s="94"/>
      <c r="C189" s="94"/>
      <c r="D189" s="9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 x14ac:dyDescent="0.25">
      <c r="A190" s="95" t="s">
        <v>149</v>
      </c>
      <c r="B190" s="96">
        <v>30</v>
      </c>
      <c r="C190" s="96">
        <v>0.4</v>
      </c>
      <c r="D190" s="97">
        <f t="shared" ref="D190:D195" si="21">SUM(B190*C190)</f>
        <v>12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 x14ac:dyDescent="0.25">
      <c r="A191" s="95" t="s">
        <v>150</v>
      </c>
      <c r="B191" s="96">
        <v>50</v>
      </c>
      <c r="C191" s="96">
        <v>0.4</v>
      </c>
      <c r="D191" s="97">
        <f t="shared" si="21"/>
        <v>20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 x14ac:dyDescent="0.25">
      <c r="A192" s="95" t="s">
        <v>151</v>
      </c>
      <c r="B192" s="96">
        <v>5</v>
      </c>
      <c r="C192" s="96">
        <v>0.45</v>
      </c>
      <c r="D192" s="97">
        <f t="shared" si="21"/>
        <v>2.25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 x14ac:dyDescent="0.25">
      <c r="A193" s="95" t="s">
        <v>152</v>
      </c>
      <c r="B193" s="96">
        <v>17</v>
      </c>
      <c r="C193" s="96">
        <v>0.45</v>
      </c>
      <c r="D193" s="97">
        <f t="shared" si="21"/>
        <v>7.65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 x14ac:dyDescent="0.25">
      <c r="A194" s="95" t="s">
        <v>153</v>
      </c>
      <c r="B194" s="96">
        <v>8</v>
      </c>
      <c r="C194" s="96">
        <v>0.45</v>
      </c>
      <c r="D194" s="97">
        <f t="shared" si="21"/>
        <v>3.6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 x14ac:dyDescent="0.25">
      <c r="A195" s="98" t="s">
        <v>154</v>
      </c>
      <c r="B195" s="99">
        <v>4</v>
      </c>
      <c r="C195" s="99">
        <f>12.95/12</f>
        <v>1.0791666666666666</v>
      </c>
      <c r="D195" s="97">
        <f t="shared" si="21"/>
        <v>4.3166666666666664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 x14ac:dyDescent="0.25">
      <c r="A197" s="2" t="s">
        <v>155</v>
      </c>
      <c r="B197" s="2"/>
      <c r="C197" s="2"/>
      <c r="D197" s="100">
        <f>SUM(D6:D195)</f>
        <v>6011.5528333333332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 x14ac:dyDescent="0.25"/>
    <row r="397" spans="1:27" ht="15.75" customHeight="1" x14ac:dyDescent="0.25"/>
    <row r="398" spans="1:27" ht="15.75" customHeight="1" x14ac:dyDescent="0.25"/>
    <row r="399" spans="1:27" ht="15.75" customHeight="1" x14ac:dyDescent="0.25"/>
    <row r="400" spans="1:27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</sheetData>
  <mergeCells count="4">
    <mergeCell ref="M4:O4"/>
    <mergeCell ref="M83:O83"/>
    <mergeCell ref="M148:O148"/>
    <mergeCell ref="M163:O163"/>
  </mergeCells>
  <printOptions horizontalCentered="1" gridLines="1"/>
  <pageMargins left="0.7" right="0.7" top="0.75" bottom="0.75" header="0.3" footer="0.3"/>
  <pageSetup paperSize="9" scale="36" fitToHeight="0" pageOrder="overThenDown" orientation="portrait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Russell</dc:creator>
  <cp:lastModifiedBy>Elliott Collett</cp:lastModifiedBy>
  <cp:lastPrinted>2025-09-28T13:27:30Z</cp:lastPrinted>
  <dcterms:created xsi:type="dcterms:W3CDTF">2025-09-28T12:58:23Z</dcterms:created>
  <dcterms:modified xsi:type="dcterms:W3CDTF">2025-11-03T10:38:40Z</dcterms:modified>
</cp:coreProperties>
</file>