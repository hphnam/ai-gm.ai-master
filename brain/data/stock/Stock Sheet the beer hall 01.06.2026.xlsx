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ful\Desktop\Stock Sheets\"/>
    </mc:Choice>
  </mc:AlternateContent>
  <xr:revisionPtr revIDLastSave="0" documentId="8_{C6F6872F-BBB0-4FA2-87E3-66E2ED5AE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7" i="1" l="1"/>
  <c r="D153" i="1"/>
  <c r="D148" i="1"/>
  <c r="D136" i="1"/>
  <c r="D135" i="1"/>
  <c r="D134" i="1"/>
  <c r="D101" i="1"/>
  <c r="B115" i="1"/>
  <c r="D115" i="1" s="1"/>
  <c r="D111" i="1"/>
  <c r="D106" i="1"/>
  <c r="D95" i="1"/>
  <c r="D90" i="1"/>
  <c r="D91" i="1"/>
  <c r="D84" i="1"/>
  <c r="D75" i="1"/>
  <c r="D74" i="1"/>
  <c r="D60" i="1"/>
  <c r="D53" i="1"/>
  <c r="D52" i="1"/>
  <c r="D180" i="1"/>
  <c r="D34" i="1"/>
  <c r="D33" i="1"/>
  <c r="D35" i="1"/>
  <c r="D23" i="1"/>
  <c r="D19" i="1"/>
  <c r="D20" i="1"/>
  <c r="D21" i="1"/>
  <c r="D22" i="1"/>
  <c r="D24" i="1"/>
  <c r="B9" i="1"/>
  <c r="D9" i="1" s="1"/>
  <c r="C178" i="1"/>
  <c r="D178" i="1" s="1"/>
  <c r="D177" i="1"/>
  <c r="D174" i="1"/>
  <c r="D173" i="1"/>
  <c r="D172" i="1"/>
  <c r="D171" i="1"/>
  <c r="D168" i="1"/>
  <c r="D167" i="1"/>
  <c r="D166" i="1"/>
  <c r="D165" i="1"/>
  <c r="D164" i="1"/>
  <c r="D163" i="1"/>
  <c r="D162" i="1"/>
  <c r="D161" i="1"/>
  <c r="D160" i="1"/>
  <c r="D159" i="1"/>
  <c r="D158" i="1"/>
  <c r="D156" i="1"/>
  <c r="D155" i="1"/>
  <c r="D154" i="1"/>
  <c r="D152" i="1"/>
  <c r="D149" i="1"/>
  <c r="D147" i="1"/>
  <c r="D146" i="1"/>
  <c r="D145" i="1"/>
  <c r="D144" i="1"/>
  <c r="D143" i="1"/>
  <c r="D142" i="1"/>
  <c r="D141" i="1"/>
  <c r="D140" i="1"/>
  <c r="D137" i="1"/>
  <c r="D133" i="1"/>
  <c r="D132" i="1"/>
  <c r="D131" i="1"/>
  <c r="D130" i="1"/>
  <c r="D129" i="1"/>
  <c r="D128" i="1"/>
  <c r="D127" i="1"/>
  <c r="D126" i="1"/>
  <c r="D125" i="1"/>
  <c r="D124" i="1"/>
  <c r="D123" i="1"/>
  <c r="D120" i="1"/>
  <c r="D119" i="1"/>
  <c r="D118" i="1"/>
  <c r="D117" i="1"/>
  <c r="D116" i="1"/>
  <c r="D114" i="1"/>
  <c r="D113" i="1"/>
  <c r="D112" i="1"/>
  <c r="D110" i="1"/>
  <c r="D109" i="1"/>
  <c r="D108" i="1"/>
  <c r="D107" i="1"/>
  <c r="D105" i="1"/>
  <c r="D102" i="1"/>
  <c r="D100" i="1"/>
  <c r="D99" i="1"/>
  <c r="D96" i="1"/>
  <c r="D94" i="1"/>
  <c r="D89" i="1"/>
  <c r="D88" i="1"/>
  <c r="D87" i="1"/>
  <c r="D83" i="1"/>
  <c r="D82" i="1"/>
  <c r="D81" i="1"/>
  <c r="D80" i="1"/>
  <c r="D79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59" i="1"/>
  <c r="D58" i="1"/>
  <c r="D57" i="1"/>
  <c r="D56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2" i="1"/>
  <c r="D31" i="1"/>
  <c r="D30" i="1"/>
  <c r="D29" i="1"/>
  <c r="D28" i="1"/>
  <c r="D27" i="1"/>
  <c r="D26" i="1"/>
  <c r="D18" i="1"/>
  <c r="D17" i="1"/>
  <c r="D16" i="1"/>
  <c r="D15" i="1"/>
  <c r="D14" i="1"/>
  <c r="D13" i="1"/>
  <c r="D11" i="1"/>
  <c r="D10" i="1"/>
  <c r="D8" i="1"/>
  <c r="D7" i="1"/>
  <c r="D6" i="1"/>
  <c r="D182" i="1" l="1"/>
</calcChain>
</file>

<file path=xl/sharedStrings.xml><?xml version="1.0" encoding="utf-8"?>
<sst xmlns="http://schemas.openxmlformats.org/spreadsheetml/2006/main" count="167" uniqueCount="167">
  <si>
    <t xml:space="preserve">Product </t>
  </si>
  <si>
    <t xml:space="preserve">Quanitiy </t>
  </si>
  <si>
    <t>Price</t>
  </si>
  <si>
    <t>Total on hand</t>
  </si>
  <si>
    <t>Spirits</t>
  </si>
  <si>
    <t>Vodka</t>
  </si>
  <si>
    <t>Ciroc Mango 70cl</t>
  </si>
  <si>
    <t>Ciroc Apple 70cl</t>
  </si>
  <si>
    <t>Absolut  Raspberry 70cl</t>
  </si>
  <si>
    <t>3 Wheel Vodka</t>
  </si>
  <si>
    <t>Smirnoff Red 70cl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</si>
  <si>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</si>
  <si>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</si>
  <si>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</si>
  <si>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</si>
  <si>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</si>
  <si>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</si>
  <si>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</si>
  <si>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</si>
  <si>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</si>
  <si>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</si>
  <si>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</si>
  <si>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</si>
  <si>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</si>
  <si>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</si>
  <si>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Gunpowder Gin</t>
  </si>
  <si>
    <t>Whiskey/Brandy</t>
  </si>
  <si>
    <t>JD - x 70cl</t>
  </si>
  <si>
    <t>JD Honey</t>
  </si>
  <si>
    <t>Jameson - 0.8 x 70cl</t>
  </si>
  <si>
    <t>Johnnie walker Red 1ltr</t>
  </si>
  <si>
    <t>Buffalo Trace - 0.8 x 70cl</t>
  </si>
  <si>
    <t>Southern Comfort - 70cl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</si>
  <si>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</si>
  <si>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</si>
  <si>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</si>
  <si>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</si>
  <si>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</si>
  <si>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</si>
  <si>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</si>
  <si>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</si>
  <si>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</si>
  <si>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</si>
  <si>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</si>
  <si>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</si>
  <si>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</si>
  <si>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</si>
  <si>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</si>
  <si>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</si>
  <si>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</si>
  <si>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</si>
  <si>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</si>
  <si>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Aperol</t>
  </si>
  <si>
    <t>Wine:</t>
  </si>
  <si>
    <t>Red</t>
  </si>
  <si>
    <t>LA BONITA MALBEC</t>
  </si>
  <si>
    <t>Chilnero Merlot x 75cl</t>
  </si>
  <si>
    <t>White</t>
  </si>
  <si>
    <t>South Island Sauvignon Blanc x 75cl</t>
  </si>
  <si>
    <t>Alpino Pinot Grigio 75cl</t>
  </si>
  <si>
    <t>Afrikan Chenin Blanc</t>
  </si>
  <si>
    <t>Rose</t>
  </si>
  <si>
    <t>Discovery Beach White Zinfandel (Rose) x 75cl</t>
  </si>
  <si>
    <t>Sparkling-</t>
  </si>
  <si>
    <t>Cantina Garda Prosecco (White) x 75cl</t>
  </si>
  <si>
    <t>Cantina Garda Prosecco (Rose) x 75cl</t>
  </si>
  <si>
    <t>Cantina Garda Spumante x 75cl</t>
  </si>
  <si>
    <t>Soft Drinks/Mixers-</t>
  </si>
  <si>
    <t>Britvic Orange Cordial - 0.7 x 1ltr</t>
  </si>
  <si>
    <t>Britvic Blackcurrant Cordial - 0.2 x 1ltr</t>
  </si>
  <si>
    <t>Britvic Lime Cordial - 11.1 x 1ltr</t>
  </si>
  <si>
    <t>Energy Drink Big bottles</t>
  </si>
  <si>
    <t>J20 (Bottles)</t>
  </si>
  <si>
    <t>Fentimans Ginger Beer (Bottle 275ml)</t>
  </si>
  <si>
    <t>Fevertree Cocktail Mix</t>
  </si>
  <si>
    <t>PET water bottles</t>
  </si>
  <si>
    <t>Valdemoreda Macabeo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</si>
  <si>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</si>
  <si>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</si>
  <si>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</si>
  <si>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</si>
  <si>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</si>
  <si>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</si>
  <si>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Corona Bottles 330ml</t>
  </si>
  <si>
    <t>Cask-</t>
  </si>
  <si>
    <t>Lunebrew: Lune Valley Gold</t>
  </si>
  <si>
    <t>LuneBrew: Pale Ale</t>
  </si>
  <si>
    <t>LuneBrew: session ipa</t>
  </si>
  <si>
    <t>LuneBrew: Origin blonde</t>
  </si>
  <si>
    <t>LuneBrew: Spinning Jenny</t>
  </si>
  <si>
    <t>Draught-</t>
  </si>
  <si>
    <t>Lunebrew: Session IPA</t>
  </si>
  <si>
    <t>Lunebrew:Pale (30ltr)</t>
  </si>
  <si>
    <t>Lunebrew/Guest (30ltr)</t>
  </si>
  <si>
    <t>LuneBrew: Stampede</t>
  </si>
  <si>
    <t>LuneBrew: Caravan of Love</t>
  </si>
  <si>
    <t>Alcohol Free: ?</t>
  </si>
  <si>
    <t>Delerium Red</t>
  </si>
  <si>
    <t>Paulaner Lager 50ltr</t>
  </si>
  <si>
    <t>Bud Light Keg</t>
  </si>
  <si>
    <t>Accidental Guest (30ltr)</t>
  </si>
  <si>
    <t>Becks Vier Keg</t>
  </si>
  <si>
    <t>Murphys stout</t>
  </si>
  <si>
    <t>trappist blonde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</si>
  <si>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</si>
  <si>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</si>
  <si>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</si>
  <si>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</si>
  <si>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</si>
  <si>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</si>
  <si>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Pork Scratchings</t>
  </si>
  <si>
    <t>TOTAL CASH AMOUNT OF STOCK HELD</t>
  </si>
  <si>
    <t>Stock: 01.06.2026 (current amount of stock)</t>
  </si>
  <si>
    <t>Grey Goose</t>
  </si>
  <si>
    <t>Wray &amp; Nephew</t>
  </si>
  <si>
    <t>Captain Morgan Dark</t>
  </si>
  <si>
    <t>Kraken</t>
  </si>
  <si>
    <t>Appleton 8*</t>
  </si>
  <si>
    <t>Morgan Spiced 0%</t>
  </si>
  <si>
    <t>Gordons 0%</t>
  </si>
  <si>
    <t>PendleWitch Gin</t>
  </si>
  <si>
    <t>T SHIRTS - MERCHANDISE</t>
  </si>
  <si>
    <t>FireBall Liquor</t>
  </si>
  <si>
    <t>Glenfiddich</t>
  </si>
  <si>
    <t>Drambuie</t>
  </si>
  <si>
    <t>3 Barrels Brandy</t>
  </si>
  <si>
    <t>Glayva</t>
  </si>
  <si>
    <t>St Germain Elderflower</t>
  </si>
  <si>
    <t>2 Rivers Spirits (Nominal Value)</t>
  </si>
  <si>
    <t>Jagermeister</t>
  </si>
  <si>
    <t>pimms no1/Sundowner</t>
  </si>
  <si>
    <t>Frangelico</t>
  </si>
  <si>
    <t>Cointreau</t>
  </si>
  <si>
    <t>Sassolino</t>
  </si>
  <si>
    <t>Mulled Wine</t>
  </si>
  <si>
    <t>Muddy Boots Shiraz</t>
  </si>
  <si>
    <t>2 Rivers Whites</t>
  </si>
  <si>
    <t>Flowerhead Zinfandel Rose</t>
  </si>
  <si>
    <t>Belfiore Pinot Blush (Rose) x 75cl</t>
  </si>
  <si>
    <t>Kulana Cranberry Juice - x 1ltr</t>
  </si>
  <si>
    <t>Kulana Apple Juice - x 1ltr</t>
  </si>
  <si>
    <t>Kulana Orange Juice - x 1ltr</t>
  </si>
  <si>
    <t>Dragon Energy</t>
  </si>
  <si>
    <t xml:space="preserve">Simply Fruity Apple and Blackcurrant </t>
  </si>
  <si>
    <t>Simply Fruity Orange</t>
  </si>
  <si>
    <t xml:space="preserve">Soft Drink Cans </t>
  </si>
  <si>
    <t>Britvic Mixers</t>
  </si>
  <si>
    <t>Unbelievable Sparkling Wine</t>
  </si>
  <si>
    <t>Boddingtons Cans</t>
  </si>
  <si>
    <t>Vodka Cans NE10s</t>
  </si>
  <si>
    <t>Moretti Bottles 330ml</t>
  </si>
  <si>
    <t>Peroni GF</t>
  </si>
  <si>
    <t>Peroni Bottles 330ml</t>
  </si>
  <si>
    <t>Peroni 0% Bottles 330ml</t>
  </si>
  <si>
    <t>Budweiser Bottles 330ml</t>
  </si>
  <si>
    <t>Moretti 0% Bottles 330ml</t>
  </si>
  <si>
    <t>Alcohol Free Can 330ml</t>
  </si>
  <si>
    <t>LuneBrew:Amarillo</t>
  </si>
  <si>
    <t>LuneBrew: Noir</t>
  </si>
  <si>
    <t>Lunebrew Noir Maple</t>
  </si>
  <si>
    <t>LuneBrew: Noir Honeycombe</t>
  </si>
  <si>
    <t>Lunebrew: Birdman Best</t>
  </si>
  <si>
    <t>LuneBrew: Bavarian Pilsner (30ltr)</t>
  </si>
  <si>
    <t>Stowford press/Crafty Cider (50ltr)</t>
  </si>
  <si>
    <t>Poretti</t>
  </si>
  <si>
    <t>LuneBrew: Breeze Pale (30ltr)</t>
  </si>
  <si>
    <t>Crisps (Lancashire)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</si>
</sst>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#,##0.000"/>
    <numFmt numFmtId="165" formatCode="#,##0.0000"/>
    <numFmt numFmtId="166" formatCode="#,##0.0"/>
    <numFmt numFmtId="167" formatCode="[$£-809]#,##0.0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FFFF"/>
      <name val="Arial"/>
    </font>
    <font>
      <b/>
      <u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CC0EB"/>
        <bgColor rgb="FFC27BA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4" borderId="1" xfId="0" applyFont="1" applyFill="1" applyBorder="1" applyAlignment="1"/>
    <xf numFmtId="0" fontId="2" fillId="4" borderId="1" xfId="0" applyFont="1" applyFill="1" applyBorder="1" applyAlignment="1"/>
    <xf numFmtId="0" fontId="2" fillId="4" borderId="4" xfId="0" applyFont="1" applyFill="1" applyBorder="1" applyAlignment="1"/>
    <xf numFmtId="0" fontId="2" fillId="3" borderId="3" xfId="0" applyFont="1" applyFill="1" applyBorder="1" applyAlignment="1"/>
    <xf numFmtId="0" fontId="2" fillId="0" borderId="0" xfId="0" applyFont="1"/>
    <xf numFmtId="0" fontId="1" fillId="4" borderId="1" xfId="0" applyFont="1" applyFill="1" applyBorder="1" applyAlignment="1"/>
    <xf numFmtId="2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2" fillId="4" borderId="4" xfId="0" applyNumberFormat="1" applyFont="1" applyFill="1" applyBorder="1" applyAlignment="1">
      <alignment horizontal="right"/>
    </xf>
    <xf numFmtId="4" fontId="2" fillId="0" borderId="0" xfId="0" applyNumberFormat="1" applyFont="1" applyAlignment="1"/>
    <xf numFmtId="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/>
    <xf numFmtId="0" fontId="2" fillId="0" borderId="1" xfId="0" applyFont="1" applyBorder="1" applyAlignment="1"/>
    <xf numFmtId="2" fontId="2" fillId="0" borderId="1" xfId="0" applyNumberFormat="1" applyFont="1" applyBorder="1" applyAlignment="1"/>
    <xf numFmtId="2" fontId="2" fillId="0" borderId="4" xfId="0" applyNumberFormat="1" applyFont="1" applyBorder="1" applyAlignment="1">
      <alignment horizontal="right"/>
    </xf>
    <xf numFmtId="0" fontId="1" fillId="6" borderId="1" xfId="0" applyFont="1" applyFill="1" applyBorder="1" applyAlignment="1"/>
    <xf numFmtId="2" fontId="2" fillId="6" borderId="1" xfId="0" applyNumberFormat="1" applyFont="1" applyFill="1" applyBorder="1" applyAlignment="1"/>
    <xf numFmtId="2" fontId="2" fillId="6" borderId="4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2" fontId="2" fillId="7" borderId="1" xfId="0" applyNumberFormat="1" applyFont="1" applyFill="1" applyBorder="1" applyAlignment="1"/>
    <xf numFmtId="2" fontId="2" fillId="7" borderId="4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/>
    <xf numFmtId="2" fontId="2" fillId="7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2" fontId="2" fillId="8" borderId="1" xfId="0" applyNumberFormat="1" applyFont="1" applyFill="1" applyBorder="1" applyAlignment="1"/>
    <xf numFmtId="2" fontId="2" fillId="8" borderId="4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2" fontId="2" fillId="9" borderId="1" xfId="0" applyNumberFormat="1" applyFont="1" applyFill="1" applyBorder="1" applyAlignment="1"/>
    <xf numFmtId="2" fontId="2" fillId="9" borderId="4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/>
    <xf numFmtId="0" fontId="1" fillId="0" borderId="1" xfId="0" applyFont="1" applyBorder="1" applyAlignment="1"/>
    <xf numFmtId="0" fontId="1" fillId="10" borderId="1" xfId="0" applyFont="1" applyFill="1" applyBorder="1" applyAlignment="1"/>
    <xf numFmtId="2" fontId="2" fillId="10" borderId="1" xfId="0" applyNumberFormat="1" applyFont="1" applyFill="1" applyBorder="1" applyAlignment="1"/>
    <xf numFmtId="2" fontId="2" fillId="10" borderId="4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1" fillId="10" borderId="1" xfId="0" applyFont="1" applyFill="1" applyBorder="1" applyAlignment="1"/>
    <xf numFmtId="2" fontId="2" fillId="10" borderId="1" xfId="0" applyNumberFormat="1" applyFont="1" applyFill="1" applyBorder="1" applyAlignment="1"/>
    <xf numFmtId="0" fontId="1" fillId="3" borderId="1" xfId="0" applyFont="1" applyFill="1" applyBorder="1" applyAlignment="1"/>
    <xf numFmtId="2" fontId="2" fillId="0" borderId="1" xfId="0" applyNumberFormat="1" applyFont="1" applyBorder="1" applyAlignment="1">
      <alignment horizontal="right"/>
    </xf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>
      <alignment horizontal="right"/>
    </xf>
    <xf numFmtId="2" fontId="2" fillId="11" borderId="4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1" fillId="11" borderId="1" xfId="0" applyFont="1" applyFill="1" applyBorder="1" applyAlignment="1"/>
    <xf numFmtId="0" fontId="1" fillId="12" borderId="1" xfId="0" applyFont="1" applyFill="1" applyBorder="1" applyAlignment="1"/>
    <xf numFmtId="2" fontId="2" fillId="12" borderId="1" xfId="0" applyNumberFormat="1" applyFont="1" applyFill="1" applyBorder="1" applyAlignment="1"/>
    <xf numFmtId="2" fontId="2" fillId="12" borderId="4" xfId="0" applyNumberFormat="1" applyFont="1" applyFill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0" fontId="1" fillId="13" borderId="1" xfId="0" applyFont="1" applyFill="1" applyBorder="1" applyAlignment="1"/>
    <xf numFmtId="2" fontId="2" fillId="13" borderId="1" xfId="0" applyNumberFormat="1" applyFont="1" applyFill="1" applyBorder="1" applyAlignment="1"/>
    <xf numFmtId="2" fontId="2" fillId="13" borderId="4" xfId="0" applyNumberFormat="1" applyFont="1" applyFill="1" applyBorder="1" applyAlignment="1">
      <alignment horizontal="right"/>
    </xf>
    <xf numFmtId="0" fontId="1" fillId="13" borderId="1" xfId="0" applyFont="1" applyFill="1" applyBorder="1" applyAlignment="1"/>
    <xf numFmtId="2" fontId="2" fillId="13" borderId="1" xfId="0" applyNumberFormat="1" applyFont="1" applyFill="1" applyBorder="1" applyAlignment="1">
      <alignment horizontal="right"/>
    </xf>
    <xf numFmtId="2" fontId="2" fillId="13" borderId="1" xfId="0" applyNumberFormat="1" applyFont="1" applyFill="1" applyBorder="1" applyAlignment="1">
      <alignment horizontal="right"/>
    </xf>
    <xf numFmtId="166" fontId="2" fillId="0" borderId="0" xfId="0" applyNumberFormat="1" applyFont="1"/>
    <xf numFmtId="166" fontId="2" fillId="0" borderId="0" xfId="0" applyNumberFormat="1" applyFont="1" applyAlignment="1"/>
    <xf numFmtId="0" fontId="1" fillId="13" borderId="1" xfId="0" applyFont="1" applyFill="1" applyBorder="1" applyAlignment="1"/>
    <xf numFmtId="4" fontId="6" fillId="0" borderId="1" xfId="0" applyNumberFormat="1" applyFont="1" applyBorder="1" applyAlignment="1"/>
    <xf numFmtId="4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2" fillId="0" borderId="3" xfId="0" applyFont="1" applyBorder="1" applyAlignment="1"/>
    <xf numFmtId="165" fontId="7" fillId="0" borderId="4" xfId="0" applyNumberFormat="1" applyFont="1" applyBorder="1" applyAlignment="1">
      <alignment horizontal="right"/>
    </xf>
    <xf numFmtId="0" fontId="1" fillId="14" borderId="1" xfId="0" applyFont="1" applyFill="1" applyBorder="1" applyAlignment="1"/>
    <xf numFmtId="2" fontId="2" fillId="14" borderId="1" xfId="0" applyNumberFormat="1" applyFont="1" applyFill="1" applyBorder="1" applyAlignment="1"/>
    <xf numFmtId="2" fontId="2" fillId="14" borderId="4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/>
    <xf numFmtId="0" fontId="1" fillId="15" borderId="1" xfId="0" applyFont="1" applyFill="1" applyBorder="1" applyAlignment="1"/>
    <xf numFmtId="2" fontId="2" fillId="15" borderId="1" xfId="0" applyNumberFormat="1" applyFont="1" applyFill="1" applyBorder="1" applyAlignment="1"/>
    <xf numFmtId="2" fontId="2" fillId="15" borderId="1" xfId="0" applyNumberFormat="1" applyFont="1" applyFill="1" applyBorder="1" applyAlignment="1">
      <alignment horizontal="right"/>
    </xf>
    <xf numFmtId="2" fontId="2" fillId="15" borderId="1" xfId="0" applyNumberFormat="1" applyFont="1" applyFill="1" applyBorder="1" applyAlignment="1"/>
    <xf numFmtId="2" fontId="2" fillId="15" borderId="4" xfId="0" applyNumberFormat="1" applyFont="1" applyFill="1" applyBorder="1" applyAlignment="1">
      <alignment horizontal="right"/>
    </xf>
    <xf numFmtId="0" fontId="1" fillId="15" borderId="1" xfId="0" applyFont="1" applyFill="1" applyBorder="1" applyAlignment="1"/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/>
    <xf numFmtId="2" fontId="2" fillId="16" borderId="1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/>
    <xf numFmtId="2" fontId="2" fillId="16" borderId="4" xfId="0" applyNumberFormat="1" applyFont="1" applyFill="1" applyBorder="1" applyAlignment="1">
      <alignment horizontal="right"/>
    </xf>
    <xf numFmtId="0" fontId="1" fillId="16" borderId="1" xfId="0" applyFont="1" applyFill="1" applyBorder="1" applyAlignment="1"/>
    <xf numFmtId="0" fontId="2" fillId="3" borderId="0" xfId="0" applyFont="1" applyFill="1" applyAlignment="1"/>
    <xf numFmtId="0" fontId="1" fillId="17" borderId="1" xfId="0" applyFont="1" applyFill="1" applyBorder="1" applyAlignment="1"/>
    <xf numFmtId="2" fontId="2" fillId="17" borderId="1" xfId="0" applyNumberFormat="1" applyFont="1" applyFill="1" applyBorder="1" applyAlignment="1"/>
    <xf numFmtId="2" fontId="2" fillId="17" borderId="1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/>
    <xf numFmtId="2" fontId="2" fillId="17" borderId="4" xfId="0" applyNumberFormat="1" applyFont="1" applyFill="1" applyBorder="1" applyAlignment="1">
      <alignment horizontal="right"/>
    </xf>
    <xf numFmtId="2" fontId="2" fillId="0" borderId="0" xfId="0" applyNumberFormat="1" applyFont="1" applyAlignment="1"/>
    <xf numFmtId="0" fontId="2" fillId="18" borderId="7" xfId="0" applyFont="1" applyFill="1" applyBorder="1" applyAlignment="1"/>
    <xf numFmtId="2" fontId="2" fillId="18" borderId="6" xfId="0" applyNumberFormat="1" applyFont="1" applyFill="1" applyBorder="1" applyAlignment="1"/>
    <xf numFmtId="2" fontId="2" fillId="18" borderId="6" xfId="0" applyNumberFormat="1" applyFont="1" applyFill="1" applyBorder="1" applyAlignment="1"/>
    <xf numFmtId="2" fontId="2" fillId="18" borderId="1" xfId="0" applyNumberFormat="1" applyFont="1" applyFill="1" applyBorder="1" applyAlignment="1"/>
    <xf numFmtId="2" fontId="2" fillId="18" borderId="4" xfId="0" applyNumberFormat="1" applyFont="1" applyFill="1" applyBorder="1" applyAlignment="1">
      <alignment horizontal="right"/>
    </xf>
    <xf numFmtId="0" fontId="7" fillId="18" borderId="8" xfId="0" applyFont="1" applyFill="1" applyBorder="1" applyAlignment="1">
      <alignment horizontal="left"/>
    </xf>
    <xf numFmtId="2" fontId="2" fillId="18" borderId="9" xfId="0" applyNumberFormat="1" applyFont="1" applyFill="1" applyBorder="1" applyAlignment="1"/>
    <xf numFmtId="2" fontId="2" fillId="18" borderId="9" xfId="0" applyNumberFormat="1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0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4" fontId="2" fillId="0" borderId="0" xfId="0" applyNumberFormat="1" applyFont="1" applyFill="1" applyBorder="1" applyAlignment="1"/>
    <xf numFmtId="4" fontId="2" fillId="0" borderId="0" xfId="0" applyNumberFormat="1" applyFont="1" applyFill="1" applyBorder="1"/>
    <xf numFmtId="164" fontId="2" fillId="0" borderId="0" xfId="0" applyNumberFormat="1" applyFont="1" applyFill="1" applyBorder="1"/>
    <xf numFmtId="165" fontId="2" fillId="0" borderId="0" xfId="0" applyNumberFormat="1" applyFont="1" applyFill="1" applyBorder="1" applyAlignment="1"/>
    <xf numFmtId="4" fontId="6" fillId="0" borderId="0" xfId="0" applyNumberFormat="1" applyFont="1" applyFill="1" applyBorder="1" applyAlignment="1"/>
    <xf numFmtId="4" fontId="7" fillId="0" borderId="0" xfId="0" applyNumberFormat="1" applyFont="1" applyFill="1" applyBorder="1" applyAlignment="1"/>
    <xf numFmtId="164" fontId="7" fillId="0" borderId="0" xfId="0" applyNumberFormat="1" applyFont="1" applyFill="1" applyBorder="1" applyAlignment="1"/>
    <xf numFmtId="165" fontId="7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/>
    <xf numFmtId="0" fontId="10" fillId="19" borderId="10" xfId="0" applyFont="1" applyFill="1" applyBorder="1" applyAlignment="1"/>
    <xf numFmtId="44" fontId="10" fillId="19" borderId="10" xfId="0" applyNumberFormat="1" applyFont="1" applyFill="1" applyBorder="1" applyAlignment="1"/>
    <xf numFmtId="0" fontId="11" fillId="8" borderId="1" xfId="0" applyFont="1" applyFill="1" applyBorder="1" applyAlignment="1"/>
    <xf numFmtId="0" fontId="11" fillId="9" borderId="1" xfId="0" applyFont="1" applyFill="1" applyBorder="1" applyAlignment="1"/>
    <xf numFmtId="0" fontId="11" fillId="10" borderId="1" xfId="0" applyFont="1" applyFill="1" applyBorder="1" applyAlignment="1"/>
    <xf numFmtId="0" fontId="5" fillId="0" borderId="0" xfId="0" applyFont="1" applyFill="1" applyBorder="1"/>
    <xf numFmtId="0" fontId="11" fillId="11" borderId="1" xfId="0" applyFont="1" applyFill="1" applyBorder="1" applyAlignment="1"/>
    <xf numFmtId="0" fontId="1" fillId="20" borderId="1" xfId="0" applyFont="1" applyFill="1" applyBorder="1" applyAlignment="1"/>
    <xf numFmtId="2" fontId="2" fillId="20" borderId="1" xfId="0" applyNumberFormat="1" applyFont="1" applyFill="1" applyBorder="1" applyAlignment="1">
      <alignment horizontal="right"/>
    </xf>
    <xf numFmtId="2" fontId="2" fillId="20" borderId="4" xfId="0" applyNumberFormat="1" applyFont="1" applyFill="1" applyBorder="1" applyAlignment="1">
      <alignment horizontal="right"/>
    </xf>
    <xf numFmtId="0" fontId="11" fillId="20" borderId="1" xfId="0" applyFont="1" applyFill="1" applyBorder="1" applyAlignment="1"/>
    <xf numFmtId="0" fontId="11" fillId="13" borderId="1" xfId="0" applyFont="1" applyFill="1" applyBorder="1" applyAlignment="1"/>
    <xf numFmtId="0" fontId="11" fillId="12" borderId="1" xfId="0" applyFont="1" applyFill="1" applyBorder="1" applyAlignment="1"/>
    <xf numFmtId="0" fontId="11" fillId="14" borderId="1" xfId="0" applyFont="1" applyFill="1" applyBorder="1" applyAlignment="1"/>
    <xf numFmtId="0" fontId="11" fillId="15" borderId="1" xfId="0" applyFont="1" applyFill="1" applyBorder="1" applyAlignment="1"/>
    <xf numFmtId="0" fontId="11" fillId="16" borderId="1" xfId="0" applyFont="1" applyFill="1" applyBorder="1" applyAlignment="1"/>
    <xf numFmtId="0" fontId="9" fillId="18" borderId="5" xfId="0" applyFont="1" applyFill="1" applyBorder="1" applyAlignment="1"/>
    <xf numFmtId="167" fontId="12" fillId="5" borderId="0" xfId="0" applyNumberFormat="1" applyFont="1" applyFill="1" applyAlignment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C0EB"/>
      <color rgb="FFF74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16"/>
  <sheetViews>
    <sheetView tabSelected="1" topLeftCell="A150" workbookViewId="0">
      <selection activeCell="B182" sqref="B182"/>
    </sheetView>
  </sheetViews>
  <sheetFormatPr defaultColWidth="12.5703125" defaultRowHeight="15" customHeight="1" x14ac:dyDescent="0.2"/>
  <cols>
    <col min="1" max="1" width="42.5703125" customWidth="1"/>
    <col min="2" max="4" width="12.5703125" customWidth="1"/>
    <col min="5" max="5" width="10.85546875" customWidth="1"/>
    <col min="6" max="6" width="18.85546875" customWidth="1"/>
    <col min="9" max="9" width="11.85546875" customWidth="1"/>
    <col min="10" max="10" width="15.140625" customWidth="1"/>
    <col min="11" max="12" width="12.5703125" customWidth="1"/>
    <col min="13" max="13" width="14.42578125" customWidth="1"/>
    <col min="15" max="15" width="14.7109375" customWidth="1"/>
  </cols>
  <sheetData>
    <row r="1" spans="1:27" ht="15.75" customHeight="1" x14ac:dyDescent="0.2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16"/>
      <c r="M2" s="116"/>
      <c r="N2" s="116"/>
      <c r="O2" s="116"/>
      <c r="P2" s="116"/>
      <c r="Q2" s="116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3" t="s">
        <v>0</v>
      </c>
      <c r="B3" s="3" t="s">
        <v>1</v>
      </c>
      <c r="C3" s="3" t="s">
        <v>2</v>
      </c>
      <c r="D3" s="4" t="s">
        <v>3</v>
      </c>
      <c r="E3" s="5"/>
      <c r="F3" s="6"/>
      <c r="G3" s="6"/>
      <c r="H3" s="6"/>
      <c r="I3" s="6"/>
      <c r="J3" s="7"/>
      <c r="K3" s="7"/>
      <c r="L3" s="117"/>
      <c r="M3" s="116"/>
      <c r="N3" s="116"/>
      <c r="O3" s="116"/>
      <c r="P3" s="116"/>
      <c r="Q3" s="116"/>
      <c r="R3" s="2"/>
      <c r="S3" s="2"/>
      <c r="T3" s="2"/>
      <c r="U3" s="2"/>
      <c r="V3" s="2"/>
      <c r="W3" s="2"/>
      <c r="X3" s="2"/>
    </row>
    <row r="4" spans="1:27" ht="15.75" customHeight="1" x14ac:dyDescent="0.2">
      <c r="A4" s="8" t="s">
        <v>4</v>
      </c>
      <c r="B4" s="9"/>
      <c r="C4" s="9"/>
      <c r="D4" s="10"/>
      <c r="E4" s="11"/>
      <c r="F4" s="2"/>
      <c r="G4" s="12"/>
      <c r="H4" s="12"/>
      <c r="I4" s="12"/>
      <c r="J4" s="2"/>
      <c r="K4" s="2"/>
      <c r="L4" s="116"/>
      <c r="M4" s="118"/>
      <c r="N4" s="119"/>
      <c r="O4" s="119"/>
      <c r="P4" s="116"/>
      <c r="Q4" s="116"/>
      <c r="R4" s="2"/>
      <c r="S4" s="2"/>
      <c r="T4" s="2"/>
      <c r="U4" s="2"/>
      <c r="V4" s="2"/>
      <c r="W4" s="2"/>
      <c r="X4" s="2"/>
    </row>
    <row r="5" spans="1:27" ht="15.75" customHeight="1" x14ac:dyDescent="0.2">
      <c r="A5" s="8" t="s">
        <v>5</v>
      </c>
      <c r="B5" s="9"/>
      <c r="C5" s="9"/>
      <c r="D5" s="10"/>
      <c r="E5" s="11"/>
      <c r="F5" s="2"/>
      <c r="G5" s="12"/>
      <c r="H5" s="12"/>
      <c r="I5" s="12"/>
      <c r="J5" s="2"/>
      <c r="K5" s="2"/>
      <c r="L5" s="116"/>
      <c r="M5" s="116"/>
      <c r="N5" s="116"/>
      <c r="O5" s="116"/>
      <c r="P5" s="116"/>
      <c r="Q5" s="116"/>
      <c r="R5" s="2"/>
      <c r="S5" s="2"/>
      <c r="T5" s="2"/>
      <c r="U5" s="2"/>
      <c r="V5" s="2"/>
      <c r="W5" s="2"/>
      <c r="X5" s="2"/>
    </row>
    <row r="6" spans="1:27" ht="15.75" customHeight="1" x14ac:dyDescent="0.2">
      <c r="A6" s="13" t="s">
        <v>113</v>
      </c>
      <c r="B6" s="14">
        <v>0.7</v>
      </c>
      <c r="C6" s="15">
        <v>25.99</v>
      </c>
      <c r="D6" s="16">
        <f t="shared" ref="D6:D11" si="0">SUM(B6*C6)</f>
        <v>18.192999999999998</v>
      </c>
      <c r="E6" s="11"/>
      <c r="F6" s="17"/>
      <c r="G6" s="18"/>
      <c r="H6" s="19"/>
      <c r="I6" s="19"/>
      <c r="J6" s="20"/>
      <c r="K6" s="20"/>
      <c r="L6" s="116"/>
      <c r="M6" s="116"/>
      <c r="N6" s="116"/>
      <c r="O6" s="120"/>
      <c r="P6" s="116"/>
      <c r="Q6" s="116"/>
      <c r="R6" s="2"/>
      <c r="S6" s="2"/>
      <c r="T6" s="2"/>
      <c r="U6" s="2"/>
      <c r="V6" s="2"/>
      <c r="W6" s="2"/>
      <c r="X6" s="2"/>
    </row>
    <row r="7" spans="1:27" ht="15.75" customHeight="1" x14ac:dyDescent="0.2">
      <c r="A7" s="13" t="s">
        <v>6</v>
      </c>
      <c r="B7" s="14">
        <v>0.2</v>
      </c>
      <c r="C7" s="15">
        <v>24.85</v>
      </c>
      <c r="D7" s="16">
        <f t="shared" si="0"/>
        <v>4.9700000000000006</v>
      </c>
      <c r="E7" s="11"/>
      <c r="F7" s="17"/>
      <c r="G7" s="18"/>
      <c r="H7" s="19"/>
      <c r="I7" s="19"/>
      <c r="J7" s="20"/>
      <c r="K7" s="20"/>
      <c r="L7" s="116"/>
      <c r="M7" s="116"/>
      <c r="N7" s="116"/>
      <c r="O7" s="120"/>
      <c r="P7" s="116"/>
      <c r="Q7" s="116"/>
      <c r="R7" s="2"/>
      <c r="S7" s="2"/>
      <c r="T7" s="2"/>
      <c r="U7" s="2"/>
      <c r="V7" s="2"/>
      <c r="W7" s="2"/>
      <c r="X7" s="2"/>
    </row>
    <row r="8" spans="1:27" ht="15.75" customHeight="1" x14ac:dyDescent="0.2">
      <c r="A8" s="13" t="s">
        <v>7</v>
      </c>
      <c r="B8" s="14">
        <v>0.1</v>
      </c>
      <c r="C8" s="15">
        <v>16.68</v>
      </c>
      <c r="D8" s="16">
        <f t="shared" si="0"/>
        <v>1.6680000000000001</v>
      </c>
      <c r="E8" s="11"/>
      <c r="F8" s="17"/>
      <c r="G8" s="18"/>
      <c r="H8" s="19"/>
      <c r="I8" s="19"/>
      <c r="J8" s="20"/>
      <c r="K8" s="20"/>
      <c r="L8" s="116"/>
      <c r="M8" s="116"/>
      <c r="N8" s="116"/>
      <c r="O8" s="120"/>
      <c r="P8" s="116"/>
      <c r="Q8" s="116"/>
      <c r="R8" s="2"/>
      <c r="S8" s="2"/>
      <c r="T8" s="2"/>
      <c r="U8" s="2"/>
      <c r="V8" s="2"/>
      <c r="W8" s="2"/>
      <c r="X8" s="2"/>
    </row>
    <row r="9" spans="1:27" ht="15.75" customHeight="1" x14ac:dyDescent="0.2">
      <c r="A9" s="13" t="s">
        <v>8</v>
      </c>
      <c r="B9" s="14">
        <f>0.9+0.95+0.65</f>
        <v>2.5</v>
      </c>
      <c r="C9" s="14">
        <v>17.989999999999998</v>
      </c>
      <c r="D9" s="16">
        <f t="shared" si="0"/>
        <v>44.974999999999994</v>
      </c>
      <c r="E9" s="11"/>
      <c r="F9" s="17"/>
      <c r="G9" s="18"/>
      <c r="H9" s="19"/>
      <c r="I9" s="19"/>
      <c r="J9" s="20"/>
      <c r="K9" s="20"/>
      <c r="L9" s="116"/>
      <c r="M9" s="116"/>
      <c r="N9" s="116"/>
      <c r="O9" s="120"/>
      <c r="P9" s="116"/>
      <c r="Q9" s="116"/>
      <c r="R9" s="2"/>
      <c r="S9" s="2"/>
      <c r="T9" s="2"/>
      <c r="U9" s="2"/>
      <c r="V9" s="2"/>
      <c r="W9" s="2"/>
      <c r="X9" s="2"/>
    </row>
    <row r="10" spans="1:27" ht="15.75" customHeight="1" x14ac:dyDescent="0.2">
      <c r="A10" s="13" t="s">
        <v>9</v>
      </c>
      <c r="B10" s="14">
        <v>0</v>
      </c>
      <c r="C10" s="15">
        <v>23.5</v>
      </c>
      <c r="D10" s="16">
        <f t="shared" si="0"/>
        <v>0</v>
      </c>
      <c r="E10" s="11"/>
      <c r="F10" s="17"/>
      <c r="G10" s="18"/>
      <c r="H10" s="18"/>
      <c r="I10" s="19"/>
      <c r="J10" s="20"/>
      <c r="K10" s="20"/>
      <c r="L10" s="116"/>
      <c r="M10" s="116"/>
      <c r="N10" s="116"/>
      <c r="O10" s="120"/>
      <c r="P10" s="116"/>
      <c r="Q10" s="116"/>
      <c r="R10" s="2"/>
      <c r="S10" s="2"/>
      <c r="T10" s="2"/>
      <c r="U10" s="2"/>
      <c r="V10" s="2"/>
      <c r="W10" s="2"/>
      <c r="X10" s="2"/>
    </row>
    <row r="11" spans="1:27" ht="15.75" customHeight="1" x14ac:dyDescent="0.2">
      <c r="A11" s="13" t="s">
        <v>10</v>
      </c>
      <c r="B11" s="14">
        <v>0.5</v>
      </c>
      <c r="C11" s="14">
        <v>12.99</v>
      </c>
      <c r="D11" s="16">
        <f t="shared" si="0"/>
        <v>6.4950000000000001</v>
      </c>
      <c r="E11" s="11"/>
      <c r="F11" s="17"/>
      <c r="G11" s="18"/>
      <c r="H11" s="18"/>
      <c r="I11" s="19"/>
      <c r="J11" s="20"/>
      <c r="K11" s="20"/>
      <c r="L11" s="116"/>
      <c r="M11" s="116"/>
      <c r="N11" s="116"/>
      <c r="O11" s="120"/>
      <c r="P11" s="116"/>
      <c r="Q11" s="116"/>
      <c r="R11" s="2"/>
      <c r="S11" s="2"/>
      <c r="T11" s="2"/>
      <c r="U11" s="2"/>
      <c r="V11" s="2"/>
      <c r="W11" s="2"/>
      <c r="X11" s="2"/>
    </row>
    <row r="12" spans="1:27" ht="15.75" customHeight="1" x14ac:dyDescent="0.2">
      <c r="A12" s="21"/>
      <c r="B12" s="22"/>
      <c r="C12" s="22"/>
      <c r="D12" s="23"/>
      <c r="E12" s="11"/>
      <c r="F12" s="17"/>
      <c r="G12" s="18"/>
      <c r="H12" s="18"/>
      <c r="I12" s="19"/>
      <c r="J12" s="20"/>
      <c r="K12" s="20"/>
      <c r="L12" s="116"/>
      <c r="M12" s="116"/>
      <c r="N12" s="116"/>
      <c r="O12" s="120"/>
      <c r="P12" s="116"/>
      <c r="Q12" s="116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">
      <c r="A13" s="24" t="s">
        <v>11</v>
      </c>
      <c r="B13" s="25"/>
      <c r="C13" s="25"/>
      <c r="D13" s="26">
        <f t="shared" ref="D13:D24" si="1">SUM(B13*C13)</f>
        <v>0</v>
      </c>
      <c r="E13" s="11"/>
      <c r="F13" s="17"/>
      <c r="G13" s="18"/>
      <c r="H13" s="18"/>
      <c r="I13" s="19"/>
      <c r="J13" s="20"/>
      <c r="K13" s="20"/>
      <c r="L13" s="116"/>
      <c r="M13" s="116"/>
      <c r="N13" s="116"/>
      <c r="O13" s="116"/>
      <c r="P13" s="116"/>
      <c r="Q13" s="116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">
      <c r="A14" s="24" t="s">
        <v>12</v>
      </c>
      <c r="B14" s="27">
        <v>2.75</v>
      </c>
      <c r="C14" s="27">
        <v>14.99</v>
      </c>
      <c r="D14" s="26">
        <f t="shared" si="1"/>
        <v>41.222500000000004</v>
      </c>
      <c r="E14" s="11"/>
      <c r="F14" s="17"/>
      <c r="G14" s="18"/>
      <c r="H14" s="18"/>
      <c r="I14" s="19"/>
      <c r="J14" s="20"/>
      <c r="K14" s="20"/>
      <c r="L14" s="116"/>
      <c r="M14" s="116"/>
      <c r="N14" s="116"/>
      <c r="O14" s="116"/>
      <c r="P14" s="116"/>
      <c r="Q14" s="116"/>
      <c r="R14" s="2"/>
      <c r="S14" s="2"/>
      <c r="T14" s="2"/>
      <c r="U14" s="2"/>
    </row>
    <row r="15" spans="1:27" ht="15.75" customHeight="1" x14ac:dyDescent="0.2">
      <c r="A15" s="24" t="s">
        <v>13</v>
      </c>
      <c r="B15" s="27">
        <v>2.9</v>
      </c>
      <c r="C15" s="28">
        <v>16.190000000000001</v>
      </c>
      <c r="D15" s="26">
        <f t="shared" si="1"/>
        <v>46.951000000000001</v>
      </c>
      <c r="E15" s="11"/>
      <c r="F15" s="17"/>
      <c r="G15" s="18"/>
      <c r="H15" s="18"/>
      <c r="I15" s="19"/>
      <c r="J15" s="20"/>
      <c r="K15" s="20"/>
      <c r="L15" s="116"/>
      <c r="M15" s="116"/>
      <c r="N15" s="116"/>
      <c r="O15" s="116"/>
      <c r="P15" s="116"/>
      <c r="Q15" s="116"/>
      <c r="R15" s="2"/>
      <c r="S15" s="2"/>
      <c r="T15" s="2"/>
      <c r="U15" s="2"/>
    </row>
    <row r="16" spans="1:27" ht="15.75" customHeight="1" x14ac:dyDescent="0.2">
      <c r="A16" s="24" t="s">
        <v>14</v>
      </c>
      <c r="B16" s="27">
        <v>1</v>
      </c>
      <c r="C16" s="28">
        <v>17.489999999999998</v>
      </c>
      <c r="D16" s="26">
        <f t="shared" si="1"/>
        <v>17.489999999999998</v>
      </c>
      <c r="E16" s="11"/>
      <c r="F16" s="17"/>
      <c r="G16" s="18"/>
      <c r="H16" s="18"/>
      <c r="I16" s="19"/>
      <c r="J16" s="20"/>
      <c r="K16" s="20"/>
      <c r="L16" s="116"/>
      <c r="M16" s="116"/>
      <c r="N16" s="116"/>
      <c r="O16" s="116"/>
      <c r="P16" s="116"/>
      <c r="Q16" s="116"/>
      <c r="R16" s="2"/>
      <c r="S16" s="2"/>
      <c r="T16" s="2"/>
      <c r="U16" s="2"/>
      <c r="V16" s="2"/>
      <c r="W16" s="2"/>
      <c r="X16" s="2"/>
    </row>
    <row r="17" spans="1:24" ht="15.75" customHeight="1" x14ac:dyDescent="0.2">
      <c r="A17" s="24" t="s">
        <v>15</v>
      </c>
      <c r="B17" s="27">
        <v>0.8</v>
      </c>
      <c r="C17" s="28">
        <v>17.690000000000001</v>
      </c>
      <c r="D17" s="26">
        <f t="shared" si="1"/>
        <v>14.152000000000001</v>
      </c>
      <c r="E17" s="11"/>
      <c r="F17" s="17"/>
      <c r="G17" s="18"/>
      <c r="H17" s="18"/>
      <c r="I17" s="19"/>
      <c r="J17" s="20"/>
      <c r="K17" s="20"/>
      <c r="L17" s="116"/>
      <c r="M17" s="116"/>
      <c r="N17" s="116"/>
      <c r="O17" s="116"/>
      <c r="P17" s="116"/>
      <c r="Q17" s="116"/>
      <c r="R17" s="2"/>
      <c r="S17" s="2"/>
      <c r="T17" s="2"/>
      <c r="U17" s="2"/>
    </row>
    <row r="18" spans="1:24" ht="15.75" customHeight="1" x14ac:dyDescent="0.2">
      <c r="A18" s="24" t="s">
        <v>16</v>
      </c>
      <c r="B18" s="27">
        <v>1.2</v>
      </c>
      <c r="C18" s="27">
        <v>11.99</v>
      </c>
      <c r="D18" s="26">
        <f t="shared" si="1"/>
        <v>14.388</v>
      </c>
      <c r="E18" s="11"/>
      <c r="F18" s="17"/>
      <c r="G18" s="18"/>
      <c r="H18" s="18"/>
      <c r="I18" s="19"/>
      <c r="J18" s="20"/>
      <c r="K18" s="20"/>
      <c r="L18" s="116"/>
      <c r="M18" s="116"/>
      <c r="N18" s="116"/>
      <c r="O18" s="116"/>
      <c r="P18" s="116"/>
      <c r="Q18" s="116"/>
      <c r="R18" s="2"/>
      <c r="S18" s="2"/>
      <c r="T18" s="2"/>
      <c r="U18" s="2"/>
    </row>
    <row r="19" spans="1:24" ht="15.75" customHeight="1" x14ac:dyDescent="0.2">
      <c r="A19" s="29" t="s">
        <v>17</v>
      </c>
      <c r="B19" s="28">
        <v>0.65</v>
      </c>
      <c r="C19" s="28">
        <v>24</v>
      </c>
      <c r="D19" s="26">
        <f t="shared" ref="D19:D23" si="2">SUM(B19*C19)</f>
        <v>15.600000000000001</v>
      </c>
      <c r="E19" s="11"/>
      <c r="F19" s="17"/>
      <c r="G19" s="18"/>
      <c r="H19" s="18"/>
      <c r="I19" s="19"/>
      <c r="J19" s="20"/>
      <c r="K19" s="20"/>
      <c r="L19" s="116"/>
      <c r="M19" s="116"/>
      <c r="N19" s="116"/>
      <c r="O19" s="116"/>
      <c r="P19" s="116"/>
      <c r="Q19" s="116"/>
      <c r="R19" s="2"/>
      <c r="S19" s="2"/>
      <c r="T19" s="2"/>
      <c r="U19" s="2"/>
    </row>
    <row r="20" spans="1:24" ht="15.75" customHeight="1" x14ac:dyDescent="0.2">
      <c r="A20" s="29" t="s">
        <v>114</v>
      </c>
      <c r="B20" s="28">
        <v>1.4</v>
      </c>
      <c r="C20" s="28">
        <v>28</v>
      </c>
      <c r="D20" s="26">
        <f t="shared" si="2"/>
        <v>39.199999999999996</v>
      </c>
      <c r="E20" s="11"/>
      <c r="F20" s="17"/>
      <c r="G20" s="18"/>
      <c r="H20" s="18"/>
      <c r="I20" s="19"/>
      <c r="J20" s="20"/>
      <c r="K20" s="20"/>
      <c r="L20" s="116"/>
      <c r="M20" s="116"/>
      <c r="N20" s="116"/>
      <c r="O20" s="116"/>
      <c r="P20" s="116"/>
      <c r="Q20" s="116"/>
      <c r="R20" s="2"/>
      <c r="S20" s="2"/>
      <c r="T20" s="2"/>
      <c r="U20" s="2"/>
    </row>
    <row r="21" spans="1:24" ht="15.75" customHeight="1" x14ac:dyDescent="0.2">
      <c r="A21" s="29" t="s">
        <v>115</v>
      </c>
      <c r="B21" s="28">
        <v>1.8</v>
      </c>
      <c r="C21" s="28">
        <v>14.99</v>
      </c>
      <c r="D21" s="26">
        <f t="shared" si="2"/>
        <v>26.981999999999999</v>
      </c>
      <c r="E21" s="11"/>
      <c r="F21" s="17"/>
      <c r="G21" s="18"/>
      <c r="H21" s="18"/>
      <c r="I21" s="19"/>
      <c r="J21" s="20"/>
      <c r="K21" s="20"/>
      <c r="L21" s="116"/>
      <c r="M21" s="116"/>
      <c r="N21" s="116"/>
      <c r="O21" s="116"/>
      <c r="P21" s="116"/>
      <c r="Q21" s="116"/>
      <c r="R21" s="2"/>
      <c r="S21" s="2"/>
      <c r="T21" s="2"/>
      <c r="U21" s="2"/>
    </row>
    <row r="22" spans="1:24" ht="15.75" customHeight="1" x14ac:dyDescent="0.2">
      <c r="A22" s="29" t="s">
        <v>116</v>
      </c>
      <c r="B22" s="28">
        <v>1.6</v>
      </c>
      <c r="C22" s="28">
        <v>17</v>
      </c>
      <c r="D22" s="26">
        <f t="shared" si="2"/>
        <v>27.200000000000003</v>
      </c>
      <c r="E22" s="11"/>
      <c r="F22" s="17"/>
      <c r="G22" s="18"/>
      <c r="H22" s="18"/>
      <c r="I22" s="19"/>
      <c r="J22" s="20"/>
      <c r="K22" s="20"/>
      <c r="L22" s="116"/>
      <c r="M22" s="116"/>
      <c r="N22" s="116"/>
      <c r="O22" s="116"/>
      <c r="P22" s="116"/>
      <c r="Q22" s="116"/>
      <c r="R22" s="2"/>
      <c r="S22" s="2"/>
      <c r="T22" s="2"/>
      <c r="U22" s="2"/>
    </row>
    <row r="23" spans="1:24" ht="15.75" customHeight="1" x14ac:dyDescent="0.2">
      <c r="A23" s="29" t="s">
        <v>117</v>
      </c>
      <c r="B23" s="28">
        <v>1</v>
      </c>
      <c r="C23" s="28">
        <v>31</v>
      </c>
      <c r="D23" s="26">
        <f t="shared" si="2"/>
        <v>31</v>
      </c>
      <c r="E23" s="11"/>
      <c r="F23" s="17"/>
      <c r="G23" s="18"/>
      <c r="H23" s="18"/>
      <c r="I23" s="19"/>
      <c r="J23" s="20"/>
      <c r="K23" s="20"/>
      <c r="L23" s="116"/>
      <c r="M23" s="116"/>
      <c r="N23" s="116"/>
      <c r="O23" s="116"/>
      <c r="P23" s="116"/>
      <c r="Q23" s="116"/>
      <c r="R23" s="2"/>
      <c r="S23" s="2"/>
      <c r="T23" s="2"/>
      <c r="U23" s="2"/>
    </row>
    <row r="24" spans="1:24" ht="15.75" customHeight="1" x14ac:dyDescent="0.2">
      <c r="A24" s="29" t="s">
        <v>118</v>
      </c>
      <c r="B24" s="27">
        <v>0.75</v>
      </c>
      <c r="C24" s="27">
        <v>12.99</v>
      </c>
      <c r="D24" s="26">
        <f t="shared" si="1"/>
        <v>9.7424999999999997</v>
      </c>
      <c r="E24" s="11"/>
      <c r="F24" s="17"/>
      <c r="G24" s="18"/>
      <c r="H24" s="18"/>
      <c r="I24" s="19"/>
      <c r="J24" s="20"/>
      <c r="K24" s="20"/>
      <c r="L24" s="116"/>
      <c r="M24" s="116"/>
      <c r="N24" s="116"/>
      <c r="O24" s="116"/>
      <c r="P24" s="116"/>
      <c r="Q24" s="116"/>
      <c r="R24" s="2"/>
      <c r="S24" s="2"/>
      <c r="T24" s="2"/>
      <c r="U24" s="2"/>
    </row>
    <row r="25" spans="1:24" ht="15.75" customHeight="1" x14ac:dyDescent="0.2">
      <c r="A25" s="21"/>
      <c r="B25" s="22"/>
      <c r="C25" s="22"/>
      <c r="D25" s="23"/>
      <c r="E25" s="11"/>
      <c r="F25" s="17"/>
      <c r="G25" s="18"/>
      <c r="H25" s="18"/>
      <c r="I25" s="19"/>
      <c r="J25" s="20"/>
      <c r="K25" s="20"/>
      <c r="L25" s="116"/>
      <c r="M25" s="116"/>
      <c r="N25" s="116"/>
      <c r="O25" s="116"/>
      <c r="P25" s="116"/>
      <c r="Q25" s="116"/>
      <c r="R25" s="2"/>
      <c r="S25" s="2"/>
      <c r="T25" s="2"/>
      <c r="U25" s="2"/>
    </row>
    <row r="26" spans="1:24" ht="15.75" customHeight="1" x14ac:dyDescent="0.2">
      <c r="A26" s="30" t="s">
        <v>18</v>
      </c>
      <c r="B26" s="31"/>
      <c r="C26" s="31"/>
      <c r="D26" s="32">
        <f t="shared" ref="D26:D35" si="3">SUM(B26*C26)</f>
        <v>0</v>
      </c>
      <c r="E26" s="11"/>
      <c r="F26" s="17"/>
      <c r="G26" s="18"/>
      <c r="H26" s="18"/>
      <c r="I26" s="19"/>
      <c r="J26" s="20"/>
      <c r="K26" s="20"/>
      <c r="L26" s="116"/>
      <c r="M26" s="116"/>
      <c r="N26" s="116"/>
      <c r="O26" s="116"/>
      <c r="P26" s="116"/>
      <c r="Q26" s="116"/>
      <c r="R26" s="2"/>
      <c r="S26" s="2"/>
      <c r="T26" s="2"/>
      <c r="U26" s="2"/>
    </row>
    <row r="27" spans="1:24" ht="15.75" customHeight="1" x14ac:dyDescent="0.2">
      <c r="A27" s="30" t="s">
        <v>19</v>
      </c>
      <c r="B27" s="33">
        <v>3.9</v>
      </c>
      <c r="C27" s="31">
        <v>14.89</v>
      </c>
      <c r="D27" s="32">
        <f t="shared" si="3"/>
        <v>58.070999999999998</v>
      </c>
      <c r="E27" s="11"/>
      <c r="F27" s="17"/>
      <c r="G27" s="18"/>
      <c r="H27" s="18"/>
      <c r="I27" s="19"/>
      <c r="J27" s="20"/>
      <c r="K27" s="20"/>
      <c r="L27" s="116"/>
      <c r="M27" s="116"/>
      <c r="N27" s="116"/>
      <c r="O27" s="116"/>
      <c r="P27" s="116"/>
      <c r="Q27" s="116"/>
      <c r="R27" s="2"/>
      <c r="S27" s="2"/>
      <c r="T27" s="2"/>
      <c r="U27" s="2"/>
      <c r="V27" s="2"/>
      <c r="W27" s="2"/>
      <c r="X27" s="2"/>
    </row>
    <row r="28" spans="1:24" ht="15.75" customHeight="1" x14ac:dyDescent="0.2">
      <c r="A28" s="30" t="s">
        <v>20</v>
      </c>
      <c r="B28" s="34">
        <v>1.5</v>
      </c>
      <c r="C28" s="35">
        <v>23.49</v>
      </c>
      <c r="D28" s="32">
        <f t="shared" si="3"/>
        <v>35.234999999999999</v>
      </c>
      <c r="E28" s="11"/>
      <c r="F28" s="17"/>
      <c r="G28" s="18"/>
      <c r="H28" s="18"/>
      <c r="I28" s="19"/>
      <c r="J28" s="20"/>
      <c r="K28" s="20"/>
      <c r="L28" s="116"/>
      <c r="M28" s="116"/>
      <c r="N28" s="116"/>
      <c r="O28" s="116"/>
      <c r="P28" s="116"/>
      <c r="Q28" s="116"/>
      <c r="R28" s="2"/>
      <c r="S28" s="2"/>
      <c r="T28" s="2"/>
      <c r="U28" s="2"/>
    </row>
    <row r="29" spans="1:24" ht="15.75" customHeight="1" x14ac:dyDescent="0.2">
      <c r="A29" s="30" t="s">
        <v>21</v>
      </c>
      <c r="B29" s="34">
        <v>0.8</v>
      </c>
      <c r="C29" s="35">
        <v>27.5</v>
      </c>
      <c r="D29" s="32">
        <f t="shared" si="3"/>
        <v>22</v>
      </c>
      <c r="E29" s="11"/>
      <c r="F29" s="17"/>
      <c r="G29" s="18"/>
      <c r="H29" s="18"/>
      <c r="I29" s="19"/>
      <c r="J29" s="20"/>
      <c r="K29" s="20"/>
      <c r="L29" s="116"/>
      <c r="M29" s="116"/>
      <c r="N29" s="116"/>
      <c r="O29" s="116"/>
      <c r="P29" s="116"/>
      <c r="Q29" s="116"/>
      <c r="R29" s="2"/>
      <c r="S29" s="2"/>
      <c r="T29" s="2"/>
      <c r="U29" s="2"/>
    </row>
    <row r="30" spans="1:24" ht="15.75" customHeight="1" x14ac:dyDescent="0.2">
      <c r="A30" s="30" t="s">
        <v>22</v>
      </c>
      <c r="B30" s="34">
        <v>1.9</v>
      </c>
      <c r="C30" s="34">
        <v>18.989999999999998</v>
      </c>
      <c r="D30" s="32">
        <f t="shared" si="3"/>
        <v>36.080999999999996</v>
      </c>
      <c r="E30" s="11"/>
      <c r="F30" s="17"/>
      <c r="G30" s="18"/>
      <c r="H30" s="18"/>
      <c r="I30" s="19"/>
      <c r="J30" s="20"/>
      <c r="K30" s="20"/>
      <c r="L30" s="116"/>
      <c r="M30" s="116"/>
      <c r="N30" s="116"/>
      <c r="O30" s="116"/>
      <c r="P30" s="116"/>
      <c r="Q30" s="116"/>
      <c r="R30" s="2"/>
      <c r="S30" s="2"/>
      <c r="T30" s="2"/>
      <c r="U30" s="2"/>
      <c r="V30" s="2"/>
      <c r="W30" s="2"/>
      <c r="X30" s="2"/>
    </row>
    <row r="31" spans="1:24" ht="15.75" customHeight="1" x14ac:dyDescent="0.2">
      <c r="A31" s="30" t="s">
        <v>23</v>
      </c>
      <c r="B31" s="34">
        <v>9.5</v>
      </c>
      <c r="C31" s="34">
        <v>18.989999999999998</v>
      </c>
      <c r="D31" s="32">
        <f t="shared" si="3"/>
        <v>180.40499999999997</v>
      </c>
      <c r="E31" s="11"/>
      <c r="F31" s="17"/>
      <c r="G31" s="18"/>
      <c r="H31" s="18"/>
      <c r="I31" s="19"/>
      <c r="J31" s="20"/>
      <c r="K31" s="20"/>
      <c r="L31" s="116"/>
      <c r="M31" s="116"/>
      <c r="N31" s="116"/>
      <c r="O31" s="116"/>
      <c r="P31" s="116"/>
      <c r="Q31" s="116"/>
      <c r="R31" s="2"/>
      <c r="S31" s="2"/>
      <c r="T31" s="2"/>
      <c r="U31" s="2"/>
      <c r="V31" s="2"/>
      <c r="W31" s="2"/>
      <c r="X31" s="2"/>
    </row>
    <row r="32" spans="1:24" ht="15.75" customHeight="1" x14ac:dyDescent="0.2">
      <c r="A32" s="30" t="s">
        <v>24</v>
      </c>
      <c r="B32" s="34">
        <v>5.0999999999999996</v>
      </c>
      <c r="C32" s="34">
        <v>18.989999999999998</v>
      </c>
      <c r="D32" s="32">
        <f t="shared" si="3"/>
        <v>96.84899999999999</v>
      </c>
      <c r="E32" s="11"/>
      <c r="F32" s="17"/>
      <c r="G32" s="18"/>
      <c r="H32" s="18"/>
      <c r="I32" s="19"/>
      <c r="J32" s="20"/>
      <c r="K32" s="20"/>
      <c r="L32" s="116"/>
      <c r="M32" s="116"/>
      <c r="N32" s="116"/>
      <c r="O32" s="116"/>
      <c r="P32" s="116"/>
      <c r="Q32" s="116"/>
      <c r="R32" s="2"/>
      <c r="S32" s="2"/>
      <c r="T32" s="2"/>
      <c r="U32" s="2"/>
      <c r="V32" s="2"/>
      <c r="W32" s="2"/>
      <c r="X32" s="2"/>
    </row>
    <row r="33" spans="1:24" ht="15.75" customHeight="1" x14ac:dyDescent="0.2">
      <c r="A33" s="36" t="s">
        <v>119</v>
      </c>
      <c r="B33" s="35">
        <v>0.7</v>
      </c>
      <c r="C33" s="35">
        <v>12.99</v>
      </c>
      <c r="D33" s="32">
        <f t="shared" si="3"/>
        <v>9.093</v>
      </c>
      <c r="E33" s="11"/>
      <c r="F33" s="17"/>
      <c r="G33" s="18"/>
      <c r="H33" s="18"/>
      <c r="I33" s="19"/>
      <c r="J33" s="20"/>
      <c r="K33" s="20"/>
      <c r="L33" s="116"/>
      <c r="M33" s="116"/>
      <c r="N33" s="116"/>
      <c r="O33" s="116"/>
      <c r="P33" s="116"/>
      <c r="Q33" s="116"/>
      <c r="R33" s="2"/>
      <c r="S33" s="2"/>
      <c r="T33" s="2"/>
      <c r="U33" s="2"/>
      <c r="V33" s="2"/>
      <c r="W33" s="2"/>
      <c r="X33" s="2"/>
    </row>
    <row r="34" spans="1:24" ht="15.75" customHeight="1" x14ac:dyDescent="0.2">
      <c r="A34" s="36" t="s">
        <v>120</v>
      </c>
      <c r="B34" s="35">
        <v>6</v>
      </c>
      <c r="C34" s="35">
        <v>24</v>
      </c>
      <c r="D34" s="32">
        <f t="shared" si="3"/>
        <v>144</v>
      </c>
      <c r="E34" s="11"/>
      <c r="F34" s="17"/>
      <c r="G34" s="18"/>
      <c r="H34" s="18"/>
      <c r="I34" s="19"/>
      <c r="J34" s="20"/>
      <c r="K34" s="20"/>
      <c r="L34" s="116"/>
      <c r="M34" s="116"/>
      <c r="N34" s="116"/>
      <c r="O34" s="116"/>
      <c r="P34" s="116"/>
      <c r="Q34" s="116"/>
      <c r="R34" s="2"/>
      <c r="S34" s="2"/>
      <c r="T34" s="2"/>
      <c r="U34" s="2"/>
      <c r="V34" s="2"/>
      <c r="W34" s="2"/>
      <c r="X34" s="2"/>
    </row>
    <row r="35" spans="1:24" ht="15.75" customHeight="1" x14ac:dyDescent="0.2">
      <c r="A35" s="36" t="s">
        <v>25</v>
      </c>
      <c r="B35" s="34">
        <v>1</v>
      </c>
      <c r="C35" s="34">
        <v>28.99</v>
      </c>
      <c r="D35" s="32">
        <f t="shared" si="3"/>
        <v>28.99</v>
      </c>
      <c r="E35" s="11"/>
      <c r="F35" s="17"/>
      <c r="G35" s="18"/>
      <c r="H35" s="18"/>
      <c r="I35" s="19"/>
      <c r="J35" s="20"/>
      <c r="K35" s="20"/>
      <c r="L35" s="116"/>
      <c r="M35" s="116"/>
      <c r="N35" s="116"/>
      <c r="O35" s="116"/>
      <c r="P35" s="116"/>
      <c r="Q35" s="116"/>
      <c r="R35" s="2"/>
      <c r="S35" s="2"/>
      <c r="T35" s="2"/>
      <c r="U35" s="2"/>
      <c r="V35" s="2"/>
      <c r="W35" s="2"/>
      <c r="X35" s="2"/>
    </row>
    <row r="36" spans="1:24" ht="15.75" customHeight="1" x14ac:dyDescent="0.2">
      <c r="A36" s="21"/>
      <c r="B36" s="22"/>
      <c r="C36" s="22"/>
      <c r="D36" s="23"/>
      <c r="E36" s="11"/>
      <c r="F36" s="17"/>
      <c r="G36" s="18"/>
      <c r="H36" s="18"/>
      <c r="I36" s="19"/>
      <c r="J36" s="20"/>
      <c r="K36" s="20"/>
      <c r="L36" s="116"/>
      <c r="M36" s="116"/>
      <c r="N36" s="116"/>
      <c r="O36" s="116"/>
      <c r="P36" s="116"/>
      <c r="Q36" s="116"/>
      <c r="R36" s="2"/>
      <c r="S36" s="2"/>
      <c r="T36" s="2"/>
      <c r="U36" s="2"/>
      <c r="V36" s="2"/>
      <c r="W36" s="2"/>
      <c r="X36" s="2"/>
    </row>
    <row r="37" spans="1:24" ht="15.75" customHeight="1" x14ac:dyDescent="0.2">
      <c r="A37" s="37" t="s">
        <v>26</v>
      </c>
      <c r="B37" s="38"/>
      <c r="C37" s="38"/>
      <c r="D37" s="39">
        <f t="shared" ref="D37:D53" si="4">SUM(B37*C37)</f>
        <v>0</v>
      </c>
      <c r="E37" s="11"/>
      <c r="F37" s="17"/>
      <c r="G37" s="18"/>
      <c r="H37" s="18"/>
      <c r="I37" s="19"/>
      <c r="J37" s="20"/>
      <c r="K37" s="20"/>
      <c r="L37" s="116"/>
      <c r="M37" s="116"/>
      <c r="N37" s="116"/>
      <c r="O37" s="116"/>
      <c r="P37" s="116"/>
      <c r="Q37" s="116"/>
      <c r="R37" s="2"/>
      <c r="S37" s="2"/>
      <c r="T37" s="2"/>
      <c r="U37" s="2"/>
      <c r="V37" s="2"/>
      <c r="W37" s="2"/>
      <c r="X37" s="2"/>
    </row>
    <row r="38" spans="1:24" ht="15.75" customHeight="1" x14ac:dyDescent="0.2">
      <c r="A38" s="37" t="s">
        <v>27</v>
      </c>
      <c r="B38" s="40">
        <v>2.4</v>
      </c>
      <c r="C38" s="41">
        <v>17.989999999999998</v>
      </c>
      <c r="D38" s="39">
        <f t="shared" si="4"/>
        <v>43.175999999999995</v>
      </c>
      <c r="E38" s="11"/>
      <c r="F38" s="17"/>
      <c r="G38" s="18"/>
      <c r="H38" s="18"/>
      <c r="I38" s="19"/>
      <c r="J38" s="20"/>
      <c r="K38" s="20"/>
      <c r="L38" s="116"/>
      <c r="M38" s="116"/>
      <c r="N38" s="116"/>
      <c r="O38" s="116"/>
      <c r="P38" s="116"/>
      <c r="Q38" s="116"/>
      <c r="R38" s="2"/>
      <c r="S38" s="2"/>
      <c r="T38" s="2"/>
      <c r="U38" s="2"/>
      <c r="V38" s="2"/>
      <c r="W38" s="2"/>
      <c r="X38" s="2"/>
    </row>
    <row r="39" spans="1:24" ht="15.75" customHeight="1" x14ac:dyDescent="0.2">
      <c r="A39" s="136" t="s">
        <v>122</v>
      </c>
      <c r="B39" s="40">
        <v>0.4</v>
      </c>
      <c r="C39" s="40">
        <v>17.989999999999998</v>
      </c>
      <c r="D39" s="39">
        <f t="shared" si="4"/>
        <v>7.1959999999999997</v>
      </c>
      <c r="E39" s="11"/>
      <c r="F39" s="17"/>
      <c r="G39" s="18"/>
      <c r="H39" s="18"/>
      <c r="I39" s="19"/>
      <c r="J39" s="20"/>
      <c r="K39" s="20"/>
      <c r="L39" s="116"/>
      <c r="M39" s="116"/>
      <c r="N39" s="116"/>
      <c r="O39" s="116"/>
      <c r="P39" s="116"/>
      <c r="Q39" s="116"/>
      <c r="R39" s="2"/>
      <c r="S39" s="2"/>
      <c r="T39" s="2"/>
      <c r="U39" s="2"/>
      <c r="V39" s="2"/>
      <c r="W39" s="2"/>
      <c r="X39" s="2"/>
    </row>
    <row r="40" spans="1:24" ht="15.75" customHeight="1" x14ac:dyDescent="0.2">
      <c r="A40" s="37" t="s">
        <v>28</v>
      </c>
      <c r="B40" s="40">
        <v>2.5499999999999998</v>
      </c>
      <c r="C40" s="40">
        <v>17.989999999999998</v>
      </c>
      <c r="D40" s="39">
        <f t="shared" si="4"/>
        <v>45.874499999999991</v>
      </c>
      <c r="E40" s="11"/>
      <c r="F40" s="17"/>
      <c r="G40" s="18"/>
      <c r="H40" s="18"/>
      <c r="I40" s="19"/>
      <c r="J40" s="20"/>
      <c r="K40" s="20"/>
      <c r="L40" s="116"/>
      <c r="M40" s="116"/>
      <c r="N40" s="116"/>
      <c r="O40" s="116"/>
      <c r="P40" s="116"/>
      <c r="Q40" s="116"/>
      <c r="R40" s="2"/>
      <c r="S40" s="2"/>
      <c r="T40" s="2"/>
      <c r="U40" s="2"/>
      <c r="V40" s="2"/>
      <c r="W40" s="2"/>
      <c r="X40" s="2"/>
    </row>
    <row r="41" spans="1:24" ht="15.75" customHeight="1" x14ac:dyDescent="0.2">
      <c r="A41" s="37" t="s">
        <v>29</v>
      </c>
      <c r="B41" s="40">
        <v>1.7</v>
      </c>
      <c r="C41" s="41">
        <v>16.489999999999998</v>
      </c>
      <c r="D41" s="39">
        <f t="shared" si="4"/>
        <v>28.032999999999998</v>
      </c>
      <c r="E41" s="11"/>
      <c r="F41" s="17"/>
      <c r="G41" s="18"/>
      <c r="H41" s="18"/>
      <c r="I41" s="19"/>
      <c r="J41" s="20"/>
      <c r="K41" s="20"/>
      <c r="L41" s="116"/>
      <c r="M41" s="116"/>
      <c r="N41" s="116"/>
      <c r="O41" s="116"/>
      <c r="P41" s="116"/>
      <c r="Q41" s="116"/>
      <c r="R41" s="2"/>
      <c r="S41" s="2"/>
      <c r="T41" s="2"/>
      <c r="U41" s="2"/>
      <c r="V41" s="2"/>
      <c r="W41" s="2"/>
      <c r="X41" s="2"/>
    </row>
    <row r="42" spans="1:24" ht="15.75" customHeight="1" x14ac:dyDescent="0.2">
      <c r="A42" s="37" t="s">
        <v>30</v>
      </c>
      <c r="B42" s="40">
        <v>0.5</v>
      </c>
      <c r="C42" s="41">
        <v>28.5</v>
      </c>
      <c r="D42" s="39">
        <f t="shared" si="4"/>
        <v>14.25</v>
      </c>
      <c r="E42" s="11"/>
      <c r="F42" s="17"/>
      <c r="G42" s="18"/>
      <c r="H42" s="18"/>
      <c r="I42" s="19"/>
      <c r="J42" s="20"/>
      <c r="K42" s="20"/>
      <c r="L42" s="116"/>
      <c r="M42" s="116"/>
      <c r="N42" s="116"/>
      <c r="O42" s="116"/>
      <c r="P42" s="116"/>
      <c r="Q42" s="116"/>
      <c r="R42" s="2"/>
      <c r="S42" s="2"/>
      <c r="T42" s="2"/>
      <c r="U42" s="2"/>
      <c r="V42" s="2"/>
      <c r="W42" s="2"/>
      <c r="X42" s="2"/>
    </row>
    <row r="43" spans="1:24" ht="15.75" customHeight="1" x14ac:dyDescent="0.2">
      <c r="A43" s="136" t="s">
        <v>123</v>
      </c>
      <c r="B43" s="40">
        <v>0.4</v>
      </c>
      <c r="C43" s="40">
        <v>27</v>
      </c>
      <c r="D43" s="39">
        <f t="shared" si="4"/>
        <v>10.8</v>
      </c>
      <c r="E43" s="11"/>
      <c r="F43" s="17"/>
      <c r="G43" s="18"/>
      <c r="H43" s="18"/>
      <c r="I43" s="19"/>
      <c r="J43" s="20"/>
      <c r="K43" s="20"/>
      <c r="L43" s="116"/>
      <c r="M43" s="116"/>
      <c r="N43" s="116"/>
      <c r="O43" s="116"/>
      <c r="P43" s="116"/>
      <c r="Q43" s="116"/>
      <c r="R43" s="2"/>
      <c r="S43" s="2"/>
      <c r="T43" s="2"/>
      <c r="U43" s="2"/>
      <c r="V43" s="2"/>
      <c r="W43" s="2"/>
      <c r="X43" s="2"/>
    </row>
    <row r="44" spans="1:24" ht="15.75" customHeight="1" x14ac:dyDescent="0.2">
      <c r="A44" s="37" t="s">
        <v>31</v>
      </c>
      <c r="B44" s="40">
        <v>0.5</v>
      </c>
      <c r="C44" s="41">
        <v>24.99</v>
      </c>
      <c r="D44" s="39">
        <f t="shared" si="4"/>
        <v>12.494999999999999</v>
      </c>
      <c r="E44" s="11"/>
      <c r="F44" s="17"/>
      <c r="G44" s="18"/>
      <c r="H44" s="18"/>
      <c r="I44" s="19"/>
      <c r="J44" s="20"/>
      <c r="K44" s="20"/>
      <c r="L44" s="116"/>
      <c r="M44" s="116"/>
      <c r="N44" s="116"/>
      <c r="O44" s="116"/>
      <c r="P44" s="116"/>
      <c r="Q44" s="116"/>
      <c r="R44" s="2"/>
      <c r="S44" s="2"/>
      <c r="T44" s="2"/>
      <c r="U44" s="2"/>
      <c r="V44" s="2"/>
      <c r="W44" s="2"/>
      <c r="X44" s="2"/>
    </row>
    <row r="45" spans="1:24" ht="15.75" customHeight="1" x14ac:dyDescent="0.2">
      <c r="A45" s="37" t="s">
        <v>32</v>
      </c>
      <c r="B45" s="40">
        <v>3.8</v>
      </c>
      <c r="C45" s="40">
        <v>14.99</v>
      </c>
      <c r="D45" s="39">
        <f t="shared" si="4"/>
        <v>56.961999999999996</v>
      </c>
      <c r="E45" s="11"/>
      <c r="F45" s="17"/>
      <c r="G45" s="18"/>
      <c r="H45" s="18"/>
      <c r="I45" s="19"/>
      <c r="J45" s="20"/>
      <c r="K45" s="20"/>
      <c r="L45" s="116"/>
      <c r="M45" s="116"/>
      <c r="N45" s="116"/>
      <c r="O45" s="116"/>
      <c r="P45" s="116"/>
      <c r="Q45" s="116"/>
      <c r="R45" s="2"/>
      <c r="S45" s="2"/>
      <c r="T45" s="2"/>
      <c r="U45" s="2"/>
      <c r="V45" s="2"/>
      <c r="W45" s="2"/>
      <c r="X45" s="2"/>
    </row>
    <row r="46" spans="1:24" ht="15.75" customHeight="1" x14ac:dyDescent="0.2">
      <c r="A46" s="136" t="s">
        <v>124</v>
      </c>
      <c r="B46" s="40">
        <v>1</v>
      </c>
      <c r="C46" s="41">
        <v>14.99</v>
      </c>
      <c r="D46" s="39">
        <f t="shared" si="4"/>
        <v>14.99</v>
      </c>
      <c r="E46" s="11"/>
      <c r="F46" s="17"/>
      <c r="G46" s="18"/>
      <c r="H46" s="18"/>
      <c r="I46" s="19"/>
      <c r="J46" s="20"/>
      <c r="K46" s="20"/>
      <c r="L46" s="116"/>
      <c r="M46" s="116"/>
      <c r="N46" s="116"/>
      <c r="O46" s="116"/>
      <c r="P46" s="116"/>
      <c r="Q46" s="116"/>
      <c r="R46" s="2"/>
      <c r="S46" s="2"/>
      <c r="T46" s="2"/>
      <c r="U46" s="2"/>
      <c r="V46" s="2"/>
      <c r="W46" s="2"/>
      <c r="X46" s="2"/>
    </row>
    <row r="47" spans="1:24" ht="15.75" customHeight="1" x14ac:dyDescent="0.2">
      <c r="A47" s="42" t="s">
        <v>33</v>
      </c>
      <c r="B47" s="40">
        <v>0.5</v>
      </c>
      <c r="C47" s="40">
        <v>28</v>
      </c>
      <c r="D47" s="39">
        <f t="shared" si="4"/>
        <v>14</v>
      </c>
      <c r="E47" s="11"/>
      <c r="F47" s="17"/>
      <c r="G47" s="18"/>
      <c r="H47" s="18"/>
      <c r="I47" s="19"/>
      <c r="J47" s="20"/>
      <c r="K47" s="20"/>
      <c r="L47" s="116"/>
      <c r="M47" s="116"/>
      <c r="N47" s="116"/>
      <c r="O47" s="116"/>
      <c r="P47" s="116"/>
      <c r="Q47" s="116"/>
      <c r="R47" s="2"/>
      <c r="S47" s="2"/>
      <c r="T47" s="2"/>
      <c r="U47" s="2"/>
      <c r="V47" s="2"/>
      <c r="W47" s="2"/>
      <c r="X47" s="2"/>
    </row>
    <row r="48" spans="1:24" ht="15.75" customHeight="1" x14ac:dyDescent="0.2">
      <c r="A48" s="37" t="s">
        <v>34</v>
      </c>
      <c r="B48" s="40">
        <v>0.65</v>
      </c>
      <c r="C48" s="40">
        <v>15.99</v>
      </c>
      <c r="D48" s="39">
        <f t="shared" si="4"/>
        <v>10.393500000000001</v>
      </c>
      <c r="E48" s="11"/>
      <c r="F48" s="17"/>
      <c r="G48" s="18"/>
      <c r="H48" s="18"/>
      <c r="I48" s="19"/>
      <c r="J48" s="20"/>
      <c r="K48" s="20"/>
      <c r="L48" s="116"/>
      <c r="M48" s="116"/>
      <c r="N48" s="116"/>
      <c r="O48" s="116"/>
      <c r="P48" s="116"/>
      <c r="Q48" s="116"/>
      <c r="R48" s="2"/>
      <c r="S48" s="2"/>
      <c r="T48" s="2"/>
      <c r="U48" s="2"/>
      <c r="V48" s="2"/>
      <c r="W48" s="2"/>
      <c r="X48" s="2"/>
    </row>
    <row r="49" spans="1:27" ht="15.75" customHeight="1" x14ac:dyDescent="0.2">
      <c r="A49" s="37" t="s">
        <v>35</v>
      </c>
      <c r="B49" s="40">
        <v>0.65</v>
      </c>
      <c r="C49" s="41">
        <v>20.29</v>
      </c>
      <c r="D49" s="39">
        <f t="shared" si="4"/>
        <v>13.188499999999999</v>
      </c>
      <c r="E49" s="11"/>
      <c r="F49" s="17"/>
      <c r="G49" s="18"/>
      <c r="H49" s="18"/>
      <c r="I49" s="19"/>
      <c r="J49" s="20"/>
      <c r="K49" s="20"/>
      <c r="L49" s="116"/>
      <c r="M49" s="116"/>
      <c r="N49" s="116"/>
      <c r="O49" s="116"/>
      <c r="P49" s="116"/>
      <c r="Q49" s="116"/>
      <c r="R49" s="2"/>
      <c r="S49" s="2"/>
      <c r="T49" s="2"/>
      <c r="U49" s="2"/>
      <c r="V49" s="2"/>
      <c r="W49" s="2"/>
      <c r="X49" s="2"/>
    </row>
    <row r="50" spans="1:27" ht="15.75" customHeight="1" x14ac:dyDescent="0.2">
      <c r="A50" s="37" t="s">
        <v>36</v>
      </c>
      <c r="B50" s="40">
        <v>1.35</v>
      </c>
      <c r="C50" s="40">
        <v>12.49</v>
      </c>
      <c r="D50" s="39">
        <f t="shared" si="4"/>
        <v>16.861500000000003</v>
      </c>
      <c r="E50" s="11"/>
      <c r="F50" s="17"/>
      <c r="G50" s="18"/>
      <c r="H50" s="18"/>
      <c r="I50" s="19"/>
      <c r="J50" s="20"/>
      <c r="K50" s="20"/>
      <c r="L50" s="116"/>
      <c r="M50" s="116"/>
      <c r="N50" s="116"/>
      <c r="O50" s="116"/>
      <c r="P50" s="116"/>
      <c r="Q50" s="116"/>
      <c r="R50" s="2"/>
      <c r="S50" s="2"/>
      <c r="T50" s="2"/>
      <c r="U50" s="2"/>
      <c r="V50" s="2"/>
      <c r="W50" s="2"/>
      <c r="X50" s="2"/>
    </row>
    <row r="51" spans="1:27" ht="15.75" customHeight="1" x14ac:dyDescent="0.2">
      <c r="A51" s="37" t="s">
        <v>37</v>
      </c>
      <c r="B51" s="40">
        <v>2.25</v>
      </c>
      <c r="C51" s="41">
        <v>16.989999999999998</v>
      </c>
      <c r="D51" s="39">
        <f t="shared" si="4"/>
        <v>38.227499999999999</v>
      </c>
      <c r="E51" s="11"/>
      <c r="F51" s="17"/>
      <c r="G51" s="18"/>
      <c r="H51" s="18"/>
      <c r="I51" s="19"/>
      <c r="J51" s="20"/>
      <c r="K51" s="20"/>
      <c r="L51" s="116"/>
      <c r="M51" s="116"/>
      <c r="N51" s="116"/>
      <c r="O51" s="116"/>
      <c r="P51" s="116"/>
      <c r="Q51" s="116"/>
      <c r="R51" s="2"/>
      <c r="S51" s="2"/>
      <c r="T51" s="2"/>
      <c r="U51" s="2"/>
      <c r="V51" s="2"/>
      <c r="W51" s="2"/>
      <c r="X51" s="2"/>
    </row>
    <row r="52" spans="1:27" ht="15.75" customHeight="1" x14ac:dyDescent="0.2">
      <c r="A52" s="136" t="s">
        <v>125</v>
      </c>
      <c r="B52" s="41">
        <v>0.6</v>
      </c>
      <c r="C52" s="41">
        <v>12.99</v>
      </c>
      <c r="D52" s="39">
        <f t="shared" si="4"/>
        <v>7.7939999999999996</v>
      </c>
      <c r="E52" s="11"/>
      <c r="F52" s="17"/>
      <c r="G52" s="18"/>
      <c r="H52" s="18"/>
      <c r="I52" s="19"/>
      <c r="J52" s="20"/>
      <c r="K52" s="20"/>
      <c r="L52" s="116"/>
      <c r="M52" s="116"/>
      <c r="N52" s="116"/>
      <c r="O52" s="116"/>
      <c r="P52" s="116"/>
      <c r="Q52" s="116"/>
      <c r="R52" s="2"/>
      <c r="S52" s="2"/>
      <c r="T52" s="2"/>
      <c r="U52" s="2"/>
      <c r="V52" s="2"/>
      <c r="W52" s="2"/>
      <c r="X52" s="2"/>
    </row>
    <row r="53" spans="1:27" ht="15.75" customHeight="1" x14ac:dyDescent="0.2">
      <c r="A53" s="136" t="s">
        <v>126</v>
      </c>
      <c r="B53" s="41">
        <v>0.4</v>
      </c>
      <c r="C53" s="41">
        <v>12.99</v>
      </c>
      <c r="D53" s="39">
        <f t="shared" si="4"/>
        <v>5.1960000000000006</v>
      </c>
      <c r="E53" s="11"/>
      <c r="F53" s="17"/>
      <c r="G53" s="18"/>
      <c r="H53" s="18"/>
      <c r="I53" s="19"/>
      <c r="J53" s="20"/>
      <c r="K53" s="20"/>
      <c r="L53" s="116"/>
      <c r="M53" s="116"/>
      <c r="N53" s="116"/>
      <c r="O53" s="116"/>
      <c r="P53" s="116"/>
      <c r="Q53" s="116"/>
      <c r="R53" s="2"/>
      <c r="S53" s="2"/>
      <c r="T53" s="2"/>
      <c r="U53" s="2"/>
      <c r="V53" s="2"/>
      <c r="W53" s="2"/>
      <c r="X53" s="2"/>
    </row>
    <row r="54" spans="1:27" ht="15.75" customHeight="1" x14ac:dyDescent="0.2">
      <c r="A54" s="21"/>
      <c r="B54" s="22"/>
      <c r="C54" s="22"/>
      <c r="D54" s="23"/>
      <c r="E54" s="11"/>
      <c r="F54" s="17"/>
      <c r="G54" s="18"/>
      <c r="H54" s="18"/>
      <c r="I54" s="19"/>
      <c r="J54" s="20"/>
      <c r="K54" s="20"/>
      <c r="L54" s="116"/>
      <c r="M54" s="116"/>
      <c r="N54" s="116"/>
      <c r="O54" s="116"/>
      <c r="P54" s="116"/>
      <c r="Q54" s="116"/>
      <c r="R54" s="2"/>
      <c r="S54" s="2"/>
      <c r="T54" s="2"/>
      <c r="U54" s="2"/>
      <c r="V54" s="2"/>
      <c r="W54" s="2"/>
      <c r="X54" s="2"/>
    </row>
    <row r="55" spans="1:27" ht="15.75" customHeight="1" x14ac:dyDescent="0.2">
      <c r="A55" s="43" t="s">
        <v>38</v>
      </c>
      <c r="B55" s="44"/>
      <c r="C55" s="44"/>
      <c r="D55" s="45"/>
      <c r="E55" s="11"/>
      <c r="F55" s="17"/>
      <c r="G55" s="18"/>
      <c r="H55" s="18"/>
      <c r="I55" s="19"/>
      <c r="J55" s="20"/>
      <c r="K55" s="20"/>
      <c r="L55" s="116"/>
      <c r="M55" s="116"/>
      <c r="N55" s="116"/>
      <c r="O55" s="116"/>
      <c r="P55" s="116"/>
      <c r="Q55" s="116"/>
      <c r="R55" s="2"/>
      <c r="S55" s="2"/>
      <c r="T55" s="2"/>
      <c r="U55" s="2"/>
      <c r="V55" s="2"/>
      <c r="W55" s="2"/>
      <c r="X55" s="2"/>
    </row>
    <row r="56" spans="1:27" ht="15.75" customHeight="1" x14ac:dyDescent="0.2">
      <c r="A56" s="43" t="s">
        <v>39</v>
      </c>
      <c r="B56" s="46">
        <v>1</v>
      </c>
      <c r="C56" s="47">
        <v>16.489999999999998</v>
      </c>
      <c r="D56" s="45">
        <f t="shared" ref="D56:D75" si="5">SUM(B56*C56)</f>
        <v>16.489999999999998</v>
      </c>
      <c r="E56" s="11"/>
      <c r="F56" s="17"/>
      <c r="G56" s="18"/>
      <c r="H56" s="18"/>
      <c r="I56" s="19"/>
      <c r="J56" s="20"/>
      <c r="K56" s="20"/>
      <c r="L56" s="116"/>
      <c r="M56" s="116"/>
      <c r="N56" s="116"/>
      <c r="O56" s="116"/>
      <c r="P56" s="116"/>
      <c r="Q56" s="116"/>
      <c r="R56" s="2"/>
      <c r="S56" s="2"/>
      <c r="T56" s="2"/>
      <c r="U56" s="2"/>
      <c r="V56" s="2"/>
      <c r="W56" s="2"/>
      <c r="X56" s="2"/>
    </row>
    <row r="57" spans="1:27" ht="15.75" customHeight="1" x14ac:dyDescent="0.2">
      <c r="A57" s="43" t="s">
        <v>40</v>
      </c>
      <c r="B57" s="46">
        <v>5.9</v>
      </c>
      <c r="C57" s="47">
        <v>12.49</v>
      </c>
      <c r="D57" s="45">
        <f t="shared" si="5"/>
        <v>73.691000000000003</v>
      </c>
      <c r="E57" s="11"/>
      <c r="F57" s="17"/>
      <c r="G57" s="18"/>
      <c r="H57" s="18"/>
      <c r="I57" s="19"/>
      <c r="J57" s="20"/>
      <c r="K57" s="20"/>
      <c r="L57" s="116"/>
      <c r="M57" s="116"/>
      <c r="N57" s="116"/>
      <c r="O57" s="116"/>
      <c r="P57" s="116"/>
      <c r="Q57" s="116"/>
      <c r="R57" s="2"/>
      <c r="S57" s="2"/>
      <c r="T57" s="2"/>
      <c r="U57" s="2"/>
      <c r="V57" s="2"/>
      <c r="W57" s="2"/>
      <c r="X57" s="2"/>
    </row>
    <row r="58" spans="1:27" ht="15.75" customHeight="1" x14ac:dyDescent="0.2">
      <c r="A58" s="43" t="s">
        <v>41</v>
      </c>
      <c r="B58" s="46">
        <v>1.6</v>
      </c>
      <c r="C58" s="47">
        <v>12.49</v>
      </c>
      <c r="D58" s="45">
        <f t="shared" si="5"/>
        <v>19.984000000000002</v>
      </c>
      <c r="E58" s="11"/>
      <c r="F58" s="17"/>
      <c r="G58" s="18"/>
      <c r="H58" s="18"/>
      <c r="I58" s="19"/>
      <c r="J58" s="20"/>
      <c r="K58" s="20"/>
      <c r="L58" s="116"/>
      <c r="M58" s="116"/>
      <c r="N58" s="116"/>
      <c r="O58" s="116"/>
      <c r="P58" s="116"/>
      <c r="Q58" s="116"/>
      <c r="R58" s="2"/>
      <c r="S58" s="2"/>
      <c r="T58" s="2"/>
      <c r="U58" s="2"/>
      <c r="V58" s="2"/>
      <c r="W58" s="2"/>
      <c r="X58" s="2"/>
    </row>
    <row r="59" spans="1:27" ht="15.75" customHeight="1" x14ac:dyDescent="0.2">
      <c r="A59" s="43" t="s">
        <v>42</v>
      </c>
      <c r="B59" s="46">
        <v>1.6</v>
      </c>
      <c r="C59" s="46">
        <v>8.99</v>
      </c>
      <c r="D59" s="45">
        <f t="shared" si="5"/>
        <v>14.384</v>
      </c>
      <c r="E59" s="11"/>
      <c r="F59" s="17"/>
      <c r="G59" s="18"/>
      <c r="H59" s="18"/>
      <c r="I59" s="19"/>
      <c r="J59" s="20"/>
      <c r="K59" s="20"/>
      <c r="L59" s="116"/>
      <c r="M59" s="116"/>
      <c r="N59" s="116"/>
      <c r="O59" s="116"/>
      <c r="P59" s="116"/>
      <c r="Q59" s="116"/>
      <c r="R59" s="2"/>
      <c r="S59" s="2"/>
      <c r="T59" s="2"/>
      <c r="U59" s="2"/>
      <c r="V59" s="2"/>
      <c r="W59" s="2"/>
      <c r="X59" s="2"/>
    </row>
    <row r="60" spans="1:27" ht="15.75" customHeight="1" x14ac:dyDescent="0.2">
      <c r="A60" s="137" t="s">
        <v>129</v>
      </c>
      <c r="B60" s="47">
        <v>2.1</v>
      </c>
      <c r="C60" s="47">
        <v>14.99</v>
      </c>
      <c r="D60" s="45">
        <f t="shared" si="5"/>
        <v>31.479000000000003</v>
      </c>
      <c r="E60" s="11"/>
      <c r="F60" s="17"/>
      <c r="G60" s="18"/>
      <c r="H60" s="18"/>
      <c r="I60" s="19"/>
      <c r="J60" s="20"/>
      <c r="K60" s="20"/>
      <c r="L60" s="116"/>
      <c r="M60" s="116"/>
      <c r="N60" s="116"/>
      <c r="O60" s="116"/>
      <c r="P60" s="116"/>
      <c r="Q60" s="116"/>
      <c r="R60" s="2"/>
      <c r="S60" s="2"/>
      <c r="T60" s="2"/>
      <c r="U60" s="2"/>
      <c r="V60" s="2"/>
      <c r="W60" s="2"/>
      <c r="X60" s="2"/>
    </row>
    <row r="61" spans="1:27" ht="15.75" customHeight="1" x14ac:dyDescent="0.2">
      <c r="A61" s="137" t="s">
        <v>130</v>
      </c>
      <c r="B61" s="46">
        <v>1.45</v>
      </c>
      <c r="C61" s="47">
        <v>11.99</v>
      </c>
      <c r="D61" s="45">
        <f t="shared" si="5"/>
        <v>17.3855</v>
      </c>
      <c r="E61" s="11"/>
      <c r="F61" s="17"/>
      <c r="G61" s="18"/>
      <c r="H61" s="18"/>
      <c r="I61" s="19"/>
      <c r="J61" s="20"/>
      <c r="K61" s="20"/>
      <c r="L61" s="116"/>
      <c r="M61" s="116"/>
      <c r="N61" s="116"/>
      <c r="O61" s="116"/>
      <c r="P61" s="116"/>
      <c r="Q61" s="116"/>
      <c r="R61" s="2"/>
      <c r="S61" s="2"/>
      <c r="T61" s="2"/>
      <c r="U61" s="2"/>
      <c r="V61" s="2"/>
      <c r="W61" s="2"/>
      <c r="X61" s="2"/>
    </row>
    <row r="62" spans="1:27" ht="15.75" customHeight="1" x14ac:dyDescent="0.2">
      <c r="A62" s="43" t="s">
        <v>43</v>
      </c>
      <c r="B62" s="46">
        <v>2</v>
      </c>
      <c r="C62" s="46">
        <v>12.99</v>
      </c>
      <c r="D62" s="45">
        <f t="shared" si="5"/>
        <v>25.98</v>
      </c>
      <c r="E62" s="11"/>
      <c r="F62" s="17"/>
      <c r="G62" s="18"/>
      <c r="H62" s="18"/>
      <c r="I62" s="19"/>
      <c r="J62" s="20"/>
      <c r="K62" s="20"/>
      <c r="L62" s="116"/>
      <c r="M62" s="116"/>
      <c r="N62" s="116"/>
      <c r="O62" s="116"/>
      <c r="P62" s="116"/>
      <c r="Q62" s="116"/>
      <c r="R62" s="2"/>
      <c r="S62" s="2"/>
      <c r="T62" s="2"/>
      <c r="U62" s="2"/>
      <c r="V62" s="2"/>
      <c r="W62" s="2"/>
      <c r="X62" s="2"/>
    </row>
    <row r="63" spans="1:27" ht="15.75" customHeight="1" x14ac:dyDescent="0.2">
      <c r="A63" s="43" t="s">
        <v>44</v>
      </c>
      <c r="B63" s="46">
        <v>1.1000000000000001</v>
      </c>
      <c r="C63" s="46">
        <v>11.99</v>
      </c>
      <c r="D63" s="45">
        <f t="shared" si="5"/>
        <v>13.189000000000002</v>
      </c>
      <c r="E63" s="11"/>
      <c r="F63" s="17"/>
      <c r="G63" s="18"/>
      <c r="H63" s="18"/>
      <c r="I63" s="19"/>
      <c r="J63" s="20"/>
      <c r="K63" s="20"/>
      <c r="L63" s="116"/>
      <c r="M63" s="116"/>
      <c r="N63" s="116"/>
      <c r="O63" s="116"/>
      <c r="P63" s="116"/>
      <c r="Q63" s="116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43" t="s">
        <v>45</v>
      </c>
      <c r="B64" s="46">
        <v>2.2999999999999998</v>
      </c>
      <c r="C64" s="47">
        <v>11.99</v>
      </c>
      <c r="D64" s="45">
        <f t="shared" si="5"/>
        <v>27.576999999999998</v>
      </c>
      <c r="E64" s="11"/>
      <c r="F64" s="17"/>
      <c r="G64" s="18"/>
      <c r="H64" s="18"/>
      <c r="I64" s="19"/>
      <c r="J64" s="20"/>
      <c r="K64" s="20"/>
      <c r="L64" s="116"/>
      <c r="M64" s="116"/>
      <c r="N64" s="116"/>
      <c r="O64" s="116"/>
      <c r="P64" s="116"/>
      <c r="Q64" s="116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43" t="s">
        <v>46</v>
      </c>
      <c r="B65" s="46">
        <v>1.25</v>
      </c>
      <c r="C65" s="47">
        <v>12.29</v>
      </c>
      <c r="D65" s="45">
        <f t="shared" si="5"/>
        <v>15.362499999999999</v>
      </c>
      <c r="E65" s="11"/>
      <c r="F65" s="17"/>
      <c r="G65" s="18"/>
      <c r="H65" s="18"/>
      <c r="I65" s="19"/>
      <c r="J65" s="20"/>
      <c r="K65" s="20"/>
      <c r="L65" s="116"/>
      <c r="M65" s="116"/>
      <c r="N65" s="116"/>
      <c r="O65" s="116"/>
      <c r="P65" s="116"/>
      <c r="Q65" s="116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43" t="s">
        <v>47</v>
      </c>
      <c r="B66" s="46">
        <v>1.3</v>
      </c>
      <c r="C66" s="46">
        <v>11.49</v>
      </c>
      <c r="D66" s="45">
        <f t="shared" si="5"/>
        <v>14.937000000000001</v>
      </c>
      <c r="E66" s="11"/>
      <c r="F66" s="17"/>
      <c r="G66" s="18"/>
      <c r="H66" s="18"/>
      <c r="I66" s="19"/>
      <c r="J66" s="20"/>
      <c r="K66" s="20"/>
      <c r="L66" s="116"/>
      <c r="M66" s="116"/>
      <c r="N66" s="116"/>
      <c r="O66" s="116"/>
      <c r="P66" s="116"/>
      <c r="Q66" s="116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43" t="s">
        <v>48</v>
      </c>
      <c r="B67" s="46">
        <v>0.4</v>
      </c>
      <c r="C67" s="47">
        <v>9.99</v>
      </c>
      <c r="D67" s="45">
        <f t="shared" si="5"/>
        <v>3.9960000000000004</v>
      </c>
      <c r="E67" s="11"/>
      <c r="F67" s="17"/>
      <c r="G67" s="18"/>
      <c r="H67" s="18"/>
      <c r="I67" s="19"/>
      <c r="J67" s="20"/>
      <c r="K67" s="20"/>
      <c r="L67" s="116"/>
      <c r="M67" s="116"/>
      <c r="N67" s="116"/>
      <c r="O67" s="116"/>
      <c r="P67" s="116"/>
      <c r="Q67" s="116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43" t="s">
        <v>49</v>
      </c>
      <c r="B68" s="46">
        <v>1.2</v>
      </c>
      <c r="C68" s="47">
        <v>14.99</v>
      </c>
      <c r="D68" s="45">
        <f t="shared" si="5"/>
        <v>17.988</v>
      </c>
      <c r="E68" s="11"/>
      <c r="F68" s="17"/>
      <c r="G68" s="18"/>
      <c r="H68" s="18"/>
      <c r="I68" s="19"/>
      <c r="J68" s="20"/>
      <c r="K68" s="20"/>
      <c r="L68" s="116"/>
      <c r="M68" s="116"/>
      <c r="N68" s="116"/>
      <c r="O68" s="116"/>
      <c r="P68" s="116"/>
      <c r="Q68" s="116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43" t="s">
        <v>50</v>
      </c>
      <c r="B69" s="46">
        <v>2.6</v>
      </c>
      <c r="C69" s="47">
        <v>11.99</v>
      </c>
      <c r="D69" s="45">
        <f t="shared" si="5"/>
        <v>31.174000000000003</v>
      </c>
      <c r="E69" s="11"/>
      <c r="F69" s="17"/>
      <c r="G69" s="18"/>
      <c r="H69" s="18"/>
      <c r="I69" s="19"/>
      <c r="J69" s="20"/>
      <c r="K69" s="20"/>
      <c r="L69" s="116"/>
      <c r="M69" s="116"/>
      <c r="N69" s="116"/>
      <c r="O69" s="116"/>
      <c r="P69" s="116"/>
      <c r="Q69" s="116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43" t="s">
        <v>51</v>
      </c>
      <c r="B70" s="46">
        <v>2</v>
      </c>
      <c r="C70" s="47">
        <v>14</v>
      </c>
      <c r="D70" s="45">
        <f t="shared" si="5"/>
        <v>28</v>
      </c>
      <c r="E70" s="11"/>
      <c r="F70" s="17"/>
      <c r="G70" s="18"/>
      <c r="H70" s="18"/>
      <c r="I70" s="19"/>
      <c r="J70" s="20"/>
      <c r="K70" s="20"/>
      <c r="L70" s="116"/>
      <c r="M70" s="116"/>
      <c r="N70" s="116"/>
      <c r="O70" s="116"/>
      <c r="P70" s="116"/>
      <c r="Q70" s="116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48" t="s">
        <v>52</v>
      </c>
      <c r="B71" s="46">
        <v>2.9</v>
      </c>
      <c r="C71" s="47">
        <v>11.99</v>
      </c>
      <c r="D71" s="45">
        <f t="shared" si="5"/>
        <v>34.771000000000001</v>
      </c>
      <c r="E71" s="11"/>
      <c r="F71" s="17"/>
      <c r="G71" s="18"/>
      <c r="H71" s="18"/>
      <c r="I71" s="19"/>
      <c r="J71" s="20"/>
      <c r="K71" s="20"/>
      <c r="L71" s="116"/>
      <c r="M71" s="116"/>
      <c r="N71" s="116"/>
      <c r="O71" s="116"/>
      <c r="P71" s="116"/>
      <c r="Q71" s="116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137" t="s">
        <v>127</v>
      </c>
      <c r="B72" s="46">
        <v>1.55</v>
      </c>
      <c r="C72" s="46">
        <v>18</v>
      </c>
      <c r="D72" s="45">
        <f t="shared" si="5"/>
        <v>27.900000000000002</v>
      </c>
      <c r="E72" s="11"/>
      <c r="F72" s="17"/>
      <c r="G72" s="18"/>
      <c r="H72" s="18"/>
      <c r="I72" s="19"/>
      <c r="J72" s="20"/>
      <c r="K72" s="20"/>
      <c r="L72" s="116"/>
      <c r="M72" s="116"/>
      <c r="N72" s="116"/>
      <c r="O72" s="116"/>
      <c r="P72" s="116"/>
      <c r="Q72" s="116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137" t="s">
        <v>128</v>
      </c>
      <c r="B73" s="46">
        <v>1</v>
      </c>
      <c r="C73" s="46">
        <v>400</v>
      </c>
      <c r="D73" s="45">
        <f t="shared" si="5"/>
        <v>400</v>
      </c>
      <c r="E73" s="11"/>
      <c r="F73" s="17"/>
      <c r="G73" s="18"/>
      <c r="H73" s="18"/>
      <c r="I73" s="19"/>
      <c r="J73" s="20"/>
      <c r="K73" s="20"/>
      <c r="L73" s="116"/>
      <c r="M73" s="116"/>
      <c r="N73" s="116"/>
      <c r="O73" s="116"/>
      <c r="P73" s="116"/>
      <c r="Q73" s="116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137" t="s">
        <v>131</v>
      </c>
      <c r="B74" s="47">
        <v>1.7</v>
      </c>
      <c r="C74" s="47">
        <v>16.989999999999998</v>
      </c>
      <c r="D74" s="45">
        <f t="shared" si="5"/>
        <v>28.882999999999996</v>
      </c>
      <c r="E74" s="11"/>
      <c r="F74" s="17"/>
      <c r="G74" s="18"/>
      <c r="H74" s="18"/>
      <c r="I74" s="19"/>
      <c r="J74" s="20"/>
      <c r="K74" s="20"/>
      <c r="L74" s="116"/>
      <c r="M74" s="116"/>
      <c r="N74" s="116"/>
      <c r="O74" s="116"/>
      <c r="P74" s="116"/>
      <c r="Q74" s="116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137" t="s">
        <v>132</v>
      </c>
      <c r="B75" s="47">
        <v>1</v>
      </c>
      <c r="C75" s="47">
        <v>15.99</v>
      </c>
      <c r="D75" s="45">
        <f t="shared" si="5"/>
        <v>15.99</v>
      </c>
      <c r="E75" s="11"/>
      <c r="F75" s="17"/>
      <c r="G75" s="18"/>
      <c r="H75" s="18"/>
      <c r="I75" s="19"/>
      <c r="J75" s="20"/>
      <c r="K75" s="20"/>
      <c r="L75" s="116"/>
      <c r="M75" s="116"/>
      <c r="N75" s="116"/>
      <c r="O75" s="116"/>
      <c r="P75" s="116"/>
      <c r="Q75" s="116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21"/>
      <c r="B76" s="22"/>
      <c r="C76" s="22"/>
      <c r="D76" s="23"/>
      <c r="E76" s="11"/>
      <c r="F76" s="17"/>
      <c r="G76" s="18"/>
      <c r="H76" s="18"/>
      <c r="I76" s="19"/>
      <c r="J76" s="20"/>
      <c r="K76" s="20"/>
      <c r="L76" s="116"/>
      <c r="M76" s="116"/>
      <c r="N76" s="116"/>
      <c r="O76" s="116"/>
      <c r="P76" s="116"/>
      <c r="Q76" s="116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21"/>
      <c r="B77" s="22"/>
      <c r="C77" s="22"/>
      <c r="D77" s="23"/>
      <c r="E77" s="11"/>
      <c r="F77" s="17"/>
      <c r="G77" s="18"/>
      <c r="H77" s="18"/>
      <c r="I77" s="19"/>
      <c r="J77" s="20"/>
      <c r="K77" s="20"/>
      <c r="L77" s="116"/>
      <c r="M77" s="116"/>
      <c r="N77" s="116"/>
      <c r="O77" s="116"/>
      <c r="P77" s="116"/>
      <c r="Q77" s="116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49" t="s">
        <v>53</v>
      </c>
      <c r="B78" s="22"/>
      <c r="C78" s="22"/>
      <c r="D78" s="23"/>
      <c r="E78" s="11"/>
      <c r="F78" s="17"/>
      <c r="G78" s="18"/>
      <c r="H78" s="18"/>
      <c r="I78" s="19"/>
      <c r="J78" s="20"/>
      <c r="K78" s="20"/>
      <c r="L78" s="116"/>
      <c r="M78" s="116"/>
      <c r="N78" s="116"/>
      <c r="O78" s="116"/>
      <c r="P78" s="116"/>
      <c r="Q78" s="116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50" t="s">
        <v>54</v>
      </c>
      <c r="B79" s="51"/>
      <c r="C79" s="51"/>
      <c r="D79" s="52">
        <f t="shared" ref="D79:D84" si="6">SUM(B79*C79)</f>
        <v>0</v>
      </c>
      <c r="E79" s="11"/>
      <c r="F79" s="17"/>
      <c r="G79" s="18"/>
      <c r="H79" s="18"/>
      <c r="I79" s="19"/>
      <c r="J79" s="20"/>
      <c r="K79" s="20"/>
      <c r="L79" s="116"/>
      <c r="M79" s="116"/>
      <c r="N79" s="116"/>
      <c r="O79" s="116"/>
      <c r="P79" s="116"/>
      <c r="Q79" s="116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138" t="s">
        <v>133</v>
      </c>
      <c r="B80" s="53">
        <v>5</v>
      </c>
      <c r="C80" s="54">
        <v>9.49</v>
      </c>
      <c r="D80" s="52">
        <f t="shared" si="6"/>
        <v>47.45</v>
      </c>
      <c r="E80" s="11"/>
      <c r="F80" s="17"/>
      <c r="G80" s="18"/>
      <c r="H80" s="18"/>
      <c r="I80" s="19"/>
      <c r="J80" s="20"/>
      <c r="K80" s="20"/>
      <c r="L80" s="116"/>
      <c r="M80" s="121"/>
      <c r="N80" s="121"/>
      <c r="O80" s="121"/>
      <c r="P80" s="116"/>
      <c r="Q80" s="116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">
      <c r="A81" s="55" t="s">
        <v>55</v>
      </c>
      <c r="B81" s="53">
        <v>19.3</v>
      </c>
      <c r="C81" s="53">
        <v>6.71</v>
      </c>
      <c r="D81" s="52">
        <f t="shared" si="6"/>
        <v>129.50300000000001</v>
      </c>
      <c r="E81" s="11"/>
      <c r="F81" s="17"/>
      <c r="G81" s="18"/>
      <c r="H81" s="18"/>
      <c r="I81" s="19"/>
      <c r="J81" s="20"/>
      <c r="K81" s="20"/>
      <c r="L81" s="116"/>
      <c r="M81" s="121"/>
      <c r="N81" s="121"/>
      <c r="O81" s="121"/>
      <c r="P81" s="116"/>
      <c r="Q81" s="116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">
      <c r="A82" s="50" t="s">
        <v>56</v>
      </c>
      <c r="B82" s="53">
        <v>10.199999999999999</v>
      </c>
      <c r="C82" s="56">
        <v>5.39</v>
      </c>
      <c r="D82" s="52">
        <f t="shared" si="6"/>
        <v>54.977999999999994</v>
      </c>
      <c r="E82" s="11"/>
      <c r="F82" s="17"/>
      <c r="G82" s="18"/>
      <c r="H82" s="18"/>
      <c r="I82" s="19"/>
      <c r="J82" s="20"/>
      <c r="K82" s="20"/>
      <c r="L82" s="116"/>
      <c r="M82" s="121"/>
      <c r="N82" s="121"/>
      <c r="O82" s="121"/>
      <c r="P82" s="116"/>
      <c r="Q82" s="116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">
      <c r="A83" s="138" t="s">
        <v>134</v>
      </c>
      <c r="B83" s="54">
        <v>6</v>
      </c>
      <c r="C83" s="54">
        <v>3.99</v>
      </c>
      <c r="D83" s="52">
        <f t="shared" si="6"/>
        <v>23.94</v>
      </c>
      <c r="E83" s="11"/>
      <c r="F83" s="17"/>
      <c r="G83" s="18"/>
      <c r="H83" s="18"/>
      <c r="I83" s="19"/>
      <c r="J83" s="20"/>
      <c r="K83" s="20"/>
      <c r="L83" s="116"/>
      <c r="M83" s="118"/>
      <c r="N83" s="119"/>
      <c r="O83" s="119"/>
      <c r="P83" s="116"/>
      <c r="Q83" s="116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">
      <c r="A84" s="138" t="s">
        <v>135</v>
      </c>
      <c r="B84" s="54">
        <v>4</v>
      </c>
      <c r="C84" s="54">
        <v>5.99</v>
      </c>
      <c r="D84" s="52">
        <f t="shared" si="6"/>
        <v>23.96</v>
      </c>
      <c r="E84" s="11"/>
      <c r="F84" s="17"/>
      <c r="G84" s="18"/>
      <c r="H84" s="18"/>
      <c r="I84" s="19"/>
      <c r="J84" s="20"/>
      <c r="K84" s="20"/>
      <c r="L84" s="116"/>
      <c r="M84" s="122"/>
      <c r="N84" s="139"/>
      <c r="O84" s="139"/>
      <c r="P84" s="116"/>
      <c r="Q84" s="116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">
      <c r="A85" s="57"/>
      <c r="B85" s="58"/>
      <c r="C85" s="58"/>
      <c r="D85" s="23"/>
      <c r="E85" s="11"/>
      <c r="F85" s="17"/>
      <c r="G85" s="18"/>
      <c r="H85" s="18"/>
      <c r="I85" s="19"/>
      <c r="J85" s="20"/>
      <c r="K85" s="20"/>
      <c r="L85" s="116"/>
      <c r="M85" s="116"/>
      <c r="N85" s="116"/>
      <c r="O85" s="116"/>
      <c r="P85" s="116"/>
      <c r="Q85" s="116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">
      <c r="A86" s="59" t="s">
        <v>57</v>
      </c>
      <c r="B86" s="60"/>
      <c r="C86" s="60"/>
      <c r="D86" s="61"/>
      <c r="E86" s="11"/>
      <c r="F86" s="17"/>
      <c r="G86" s="18"/>
      <c r="H86" s="18"/>
      <c r="I86" s="19"/>
      <c r="J86" s="20"/>
      <c r="K86" s="20"/>
      <c r="L86" s="116"/>
      <c r="M86" s="116"/>
      <c r="N86" s="116"/>
      <c r="O86" s="116"/>
      <c r="P86" s="116"/>
      <c r="Q86" s="116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">
      <c r="A87" s="59" t="s">
        <v>58</v>
      </c>
      <c r="B87" s="62">
        <v>18.7</v>
      </c>
      <c r="C87" s="62">
        <v>7.25</v>
      </c>
      <c r="D87" s="61">
        <f t="shared" ref="D87:D91" si="7">SUM(B87*C87)</f>
        <v>135.57499999999999</v>
      </c>
      <c r="E87" s="11"/>
      <c r="F87" s="17"/>
      <c r="G87" s="18"/>
      <c r="H87" s="18"/>
      <c r="I87" s="19"/>
      <c r="J87" s="20"/>
      <c r="K87" s="20"/>
      <c r="L87" s="116"/>
      <c r="M87" s="116"/>
      <c r="N87" s="116"/>
      <c r="O87" s="116"/>
      <c r="P87" s="116"/>
      <c r="Q87" s="116"/>
      <c r="R87" s="2"/>
      <c r="S87" s="2"/>
      <c r="T87" s="2"/>
      <c r="U87" s="2"/>
      <c r="V87" s="2"/>
      <c r="W87" s="2"/>
      <c r="X87" s="2"/>
    </row>
    <row r="88" spans="1:27" ht="15.75" customHeight="1" x14ac:dyDescent="0.2">
      <c r="A88" s="59" t="s">
        <v>59</v>
      </c>
      <c r="B88" s="62">
        <v>39.299999999999997</v>
      </c>
      <c r="C88" s="60">
        <v>5.88</v>
      </c>
      <c r="D88" s="61">
        <f t="shared" si="7"/>
        <v>231.08399999999997</v>
      </c>
      <c r="E88" s="11"/>
      <c r="F88" s="17"/>
      <c r="G88" s="18"/>
      <c r="H88" s="18"/>
      <c r="I88" s="19"/>
      <c r="J88" s="20"/>
      <c r="K88" s="20"/>
      <c r="L88" s="116"/>
      <c r="M88" s="116"/>
      <c r="N88" s="116"/>
      <c r="O88" s="116"/>
      <c r="P88" s="116"/>
      <c r="Q88" s="116"/>
      <c r="R88" s="2"/>
      <c r="S88" s="2"/>
      <c r="T88" s="2"/>
      <c r="U88" s="2"/>
      <c r="V88" s="2"/>
      <c r="W88" s="2"/>
      <c r="X88" s="2"/>
    </row>
    <row r="89" spans="1:27" ht="15.75" customHeight="1" x14ac:dyDescent="0.2">
      <c r="A89" s="59" t="s">
        <v>60</v>
      </c>
      <c r="B89" s="62">
        <v>1</v>
      </c>
      <c r="C89" s="60">
        <v>5.56</v>
      </c>
      <c r="D89" s="61">
        <f t="shared" si="7"/>
        <v>5.56</v>
      </c>
      <c r="E89" s="11"/>
      <c r="F89" s="17"/>
      <c r="G89" s="18"/>
      <c r="H89" s="18"/>
      <c r="I89" s="19"/>
      <c r="J89" s="20"/>
      <c r="K89" s="20"/>
      <c r="L89" s="116"/>
      <c r="M89" s="116"/>
      <c r="N89" s="116"/>
      <c r="O89" s="116"/>
      <c r="P89" s="116"/>
      <c r="Q89" s="116"/>
      <c r="R89" s="2"/>
      <c r="S89" s="2"/>
      <c r="T89" s="2"/>
      <c r="U89" s="2"/>
      <c r="V89" s="2"/>
      <c r="W89" s="2"/>
      <c r="X89" s="2"/>
    </row>
    <row r="90" spans="1:27" ht="15.75" customHeight="1" x14ac:dyDescent="0.2">
      <c r="A90" s="63" t="s">
        <v>76</v>
      </c>
      <c r="B90" s="62">
        <v>5.2</v>
      </c>
      <c r="C90" s="62">
        <v>5.41</v>
      </c>
      <c r="D90" s="61">
        <f t="shared" si="7"/>
        <v>28.132000000000001</v>
      </c>
      <c r="E90" s="11"/>
      <c r="F90" s="17"/>
      <c r="G90" s="18"/>
      <c r="H90" s="18"/>
      <c r="I90" s="19"/>
      <c r="J90" s="20"/>
      <c r="K90" s="20"/>
      <c r="L90" s="116"/>
      <c r="M90" s="116"/>
      <c r="N90" s="116"/>
      <c r="O90" s="116"/>
      <c r="P90" s="116"/>
      <c r="Q90" s="116"/>
      <c r="R90" s="2"/>
      <c r="S90" s="2"/>
      <c r="T90" s="2"/>
      <c r="U90" s="2"/>
      <c r="V90" s="2"/>
      <c r="W90" s="2"/>
      <c r="X90" s="2"/>
    </row>
    <row r="91" spans="1:27" ht="15.75" customHeight="1" x14ac:dyDescent="0.2">
      <c r="A91" s="140" t="s">
        <v>136</v>
      </c>
      <c r="B91" s="62">
        <v>24</v>
      </c>
      <c r="C91" s="62">
        <v>7.5</v>
      </c>
      <c r="D91" s="61">
        <f t="shared" si="7"/>
        <v>180</v>
      </c>
      <c r="E91" s="11"/>
      <c r="F91" s="17"/>
      <c r="G91" s="18"/>
      <c r="H91" s="18"/>
      <c r="I91" s="19"/>
      <c r="J91" s="20"/>
      <c r="K91" s="20"/>
      <c r="L91" s="116"/>
      <c r="M91" s="116"/>
      <c r="N91" s="116"/>
      <c r="O91" s="116"/>
      <c r="P91" s="116"/>
      <c r="Q91" s="116"/>
      <c r="R91" s="2"/>
      <c r="S91" s="2"/>
      <c r="T91" s="2"/>
      <c r="U91" s="2"/>
      <c r="V91" s="2"/>
      <c r="W91" s="2"/>
      <c r="X91" s="2"/>
    </row>
    <row r="92" spans="1:27" ht="15.75" customHeight="1" x14ac:dyDescent="0.2">
      <c r="A92" s="49"/>
      <c r="B92" s="58"/>
      <c r="C92" s="58"/>
      <c r="D92" s="23"/>
      <c r="E92" s="11"/>
      <c r="F92" s="17"/>
      <c r="G92" s="18"/>
      <c r="H92" s="18"/>
      <c r="I92" s="19"/>
      <c r="J92" s="20"/>
      <c r="K92" s="20"/>
      <c r="L92" s="116"/>
      <c r="M92" s="116"/>
      <c r="N92" s="116"/>
      <c r="O92" s="116"/>
      <c r="P92" s="116"/>
      <c r="Q92" s="116"/>
      <c r="R92" s="2"/>
      <c r="S92" s="2"/>
      <c r="T92" s="2"/>
      <c r="U92" s="2"/>
      <c r="V92" s="2"/>
      <c r="W92" s="2"/>
      <c r="X92" s="2"/>
    </row>
    <row r="93" spans="1:27" ht="15.75" customHeight="1" x14ac:dyDescent="0.2">
      <c r="A93" s="141" t="s">
        <v>61</v>
      </c>
      <c r="B93" s="142"/>
      <c r="C93" s="142"/>
      <c r="D93" s="143"/>
      <c r="E93" s="11"/>
      <c r="F93" s="17"/>
      <c r="G93" s="18"/>
      <c r="H93" s="18"/>
      <c r="I93" s="19"/>
      <c r="J93" s="20"/>
      <c r="K93" s="20"/>
      <c r="L93" s="116"/>
      <c r="M93" s="116"/>
      <c r="N93" s="116"/>
      <c r="O93" s="116"/>
      <c r="P93" s="116"/>
      <c r="Q93" s="116"/>
      <c r="R93" s="2"/>
      <c r="S93" s="2"/>
      <c r="T93" s="2"/>
      <c r="U93" s="2"/>
      <c r="V93" s="2"/>
      <c r="W93" s="2"/>
      <c r="X93" s="2"/>
    </row>
    <row r="94" spans="1:27" ht="15.75" customHeight="1" x14ac:dyDescent="0.2">
      <c r="A94" s="141" t="s">
        <v>62</v>
      </c>
      <c r="B94" s="142">
        <v>10.5</v>
      </c>
      <c r="C94" s="142">
        <v>5.53</v>
      </c>
      <c r="D94" s="143">
        <f t="shared" ref="D94:D96" si="8">SUM(B94*C94)</f>
        <v>58.065000000000005</v>
      </c>
      <c r="E94" s="11"/>
      <c r="F94" s="17"/>
      <c r="G94" s="18"/>
      <c r="H94" s="18"/>
      <c r="I94" s="19"/>
      <c r="J94" s="20"/>
      <c r="K94" s="20"/>
      <c r="L94" s="116"/>
      <c r="M94" s="116"/>
      <c r="N94" s="116"/>
      <c r="O94" s="116"/>
      <c r="P94" s="116"/>
      <c r="Q94" s="116"/>
      <c r="R94" s="2"/>
      <c r="S94" s="2"/>
      <c r="T94" s="2"/>
      <c r="U94" s="2"/>
      <c r="V94" s="2"/>
      <c r="W94" s="2"/>
      <c r="X94" s="2"/>
    </row>
    <row r="95" spans="1:27" ht="15.75" customHeight="1" x14ac:dyDescent="0.2">
      <c r="A95" s="144" t="s">
        <v>137</v>
      </c>
      <c r="B95" s="142">
        <v>5</v>
      </c>
      <c r="C95" s="142">
        <v>5.61</v>
      </c>
      <c r="D95" s="143">
        <f t="shared" si="8"/>
        <v>28.05</v>
      </c>
      <c r="E95" s="11"/>
      <c r="F95" s="17"/>
      <c r="G95" s="18"/>
      <c r="H95" s="18"/>
      <c r="I95" s="19"/>
      <c r="J95" s="20"/>
      <c r="K95" s="20"/>
      <c r="L95" s="116"/>
      <c r="M95" s="116"/>
      <c r="N95" s="116"/>
      <c r="O95" s="116"/>
      <c r="P95" s="116"/>
      <c r="Q95" s="116"/>
      <c r="R95" s="2"/>
      <c r="S95" s="2"/>
      <c r="T95" s="2"/>
      <c r="U95" s="2"/>
      <c r="V95" s="2"/>
      <c r="W95" s="2"/>
      <c r="X95" s="2"/>
    </row>
    <row r="96" spans="1:27" ht="15.75" customHeight="1" x14ac:dyDescent="0.2">
      <c r="A96" s="144" t="s">
        <v>138</v>
      </c>
      <c r="B96" s="142">
        <v>29.5</v>
      </c>
      <c r="C96" s="142">
        <v>5.96</v>
      </c>
      <c r="D96" s="143">
        <f t="shared" si="8"/>
        <v>175.82</v>
      </c>
      <c r="E96" s="11"/>
      <c r="F96" s="17"/>
      <c r="G96" s="18"/>
      <c r="H96" s="18"/>
      <c r="I96" s="19"/>
      <c r="J96" s="20"/>
      <c r="K96" s="20"/>
      <c r="L96" s="116"/>
      <c r="M96" s="116"/>
      <c r="N96" s="116"/>
      <c r="O96" s="116"/>
      <c r="P96" s="116"/>
      <c r="Q96" s="116"/>
      <c r="R96" s="2"/>
      <c r="S96" s="2"/>
      <c r="T96" s="2"/>
      <c r="U96" s="2"/>
      <c r="V96" s="2"/>
      <c r="W96" s="2"/>
      <c r="X96" s="2"/>
    </row>
    <row r="97" spans="1:27" ht="15.75" customHeight="1" x14ac:dyDescent="0.2">
      <c r="A97" s="49"/>
      <c r="B97" s="58"/>
      <c r="C97" s="58"/>
      <c r="D97" s="23"/>
      <c r="E97" s="11"/>
      <c r="F97" s="17"/>
      <c r="G97" s="18"/>
      <c r="H97" s="18"/>
      <c r="I97" s="19"/>
      <c r="J97" s="20"/>
      <c r="K97" s="20"/>
      <c r="L97" s="116"/>
      <c r="M97" s="116"/>
      <c r="N97" s="116"/>
      <c r="O97" s="116"/>
      <c r="P97" s="116"/>
      <c r="Q97" s="116"/>
      <c r="R97" s="2"/>
      <c r="S97" s="2"/>
      <c r="T97" s="2"/>
      <c r="U97" s="2"/>
      <c r="V97" s="2"/>
      <c r="W97" s="2"/>
      <c r="X97" s="2"/>
    </row>
    <row r="98" spans="1:27" ht="15.75" customHeight="1" x14ac:dyDescent="0.2">
      <c r="A98" s="64" t="s">
        <v>63</v>
      </c>
      <c r="B98" s="65"/>
      <c r="C98" s="65"/>
      <c r="D98" s="66"/>
      <c r="E98" s="11"/>
      <c r="F98" s="17"/>
      <c r="G98" s="18"/>
      <c r="H98" s="18"/>
      <c r="I98" s="19"/>
      <c r="J98" s="20"/>
      <c r="K98" s="20"/>
      <c r="L98" s="116"/>
      <c r="M98" s="116"/>
      <c r="N98" s="116"/>
      <c r="O98" s="116"/>
      <c r="P98" s="116"/>
      <c r="Q98" s="116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64" t="s">
        <v>64</v>
      </c>
      <c r="B99" s="67">
        <v>22</v>
      </c>
      <c r="C99" s="68">
        <v>6.99</v>
      </c>
      <c r="D99" s="66">
        <f t="shared" ref="D99:D102" si="9">SUM(B99*C99)</f>
        <v>153.78</v>
      </c>
      <c r="E99" s="11"/>
      <c r="F99" s="17"/>
      <c r="G99" s="18"/>
      <c r="H99" s="18"/>
      <c r="I99" s="19"/>
      <c r="J99" s="20"/>
      <c r="K99" s="20"/>
      <c r="L99" s="116"/>
      <c r="M99" s="122"/>
      <c r="N99" s="122"/>
      <c r="O99" s="122"/>
      <c r="P99" s="116"/>
      <c r="Q99" s="116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64" t="s">
        <v>65</v>
      </c>
      <c r="B100" s="67">
        <v>8</v>
      </c>
      <c r="C100" s="68">
        <v>7.16</v>
      </c>
      <c r="D100" s="66">
        <f t="shared" si="9"/>
        <v>57.28</v>
      </c>
      <c r="E100" s="11"/>
      <c r="F100" s="17"/>
      <c r="G100" s="18"/>
      <c r="H100" s="18"/>
      <c r="I100" s="19"/>
      <c r="J100" s="20"/>
      <c r="K100" s="20"/>
      <c r="L100" s="116"/>
      <c r="M100" s="122"/>
      <c r="N100" s="122"/>
      <c r="O100" s="122"/>
      <c r="P100" s="116"/>
      <c r="Q100" s="116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64" t="s">
        <v>66</v>
      </c>
      <c r="B101" s="68">
        <v>8.6</v>
      </c>
      <c r="C101" s="68">
        <v>5.66</v>
      </c>
      <c r="D101" s="66">
        <f t="shared" ref="D101" si="10">SUM(B101*C101)</f>
        <v>48.676000000000002</v>
      </c>
      <c r="E101" s="11"/>
      <c r="F101" s="17"/>
      <c r="G101" s="18"/>
      <c r="H101" s="18"/>
      <c r="I101" s="19"/>
      <c r="J101" s="20"/>
      <c r="K101" s="20"/>
      <c r="L101" s="116"/>
      <c r="M101" s="122"/>
      <c r="N101" s="122"/>
      <c r="O101" s="122"/>
      <c r="P101" s="116"/>
      <c r="Q101" s="116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146" t="s">
        <v>147</v>
      </c>
      <c r="B102" s="67">
        <v>6</v>
      </c>
      <c r="C102" s="68">
        <v>7.1</v>
      </c>
      <c r="D102" s="66">
        <f t="shared" si="9"/>
        <v>42.599999999999994</v>
      </c>
      <c r="E102" s="11"/>
      <c r="F102" s="17"/>
      <c r="G102" s="18"/>
      <c r="H102" s="18"/>
      <c r="I102" s="19"/>
      <c r="J102" s="20"/>
      <c r="K102" s="20"/>
      <c r="L102" s="116"/>
      <c r="M102" s="122"/>
      <c r="N102" s="122"/>
      <c r="O102" s="122"/>
      <c r="P102" s="116"/>
      <c r="Q102" s="116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21"/>
      <c r="B103" s="22"/>
      <c r="C103" s="22"/>
      <c r="D103" s="23"/>
      <c r="E103" s="11"/>
      <c r="F103" s="17"/>
      <c r="G103" s="18"/>
      <c r="H103" s="18"/>
      <c r="I103" s="19"/>
      <c r="J103" s="20"/>
      <c r="K103" s="20"/>
      <c r="L103" s="116"/>
      <c r="M103" s="116"/>
      <c r="N103" s="116"/>
      <c r="O103" s="116"/>
      <c r="P103" s="116"/>
      <c r="Q103" s="116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69" t="s">
        <v>67</v>
      </c>
      <c r="B104" s="70"/>
      <c r="C104" s="70"/>
      <c r="D104" s="71"/>
      <c r="E104" s="11"/>
      <c r="F104" s="17"/>
      <c r="G104" s="18"/>
      <c r="H104" s="18"/>
      <c r="I104" s="19"/>
      <c r="J104" s="20"/>
      <c r="K104" s="20"/>
      <c r="L104" s="116"/>
      <c r="M104" s="116"/>
      <c r="N104" s="116"/>
      <c r="O104" s="116"/>
      <c r="P104" s="116"/>
      <c r="Q104" s="116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145" t="s">
        <v>139</v>
      </c>
      <c r="B105" s="73">
        <v>3.5</v>
      </c>
      <c r="C105" s="73">
        <v>1.25</v>
      </c>
      <c r="D105" s="71">
        <f t="shared" ref="D105:D120" si="11">SUM(B105*C105)</f>
        <v>4.375</v>
      </c>
      <c r="E105" s="11"/>
      <c r="F105" s="2"/>
      <c r="G105" s="2"/>
      <c r="H105" s="2"/>
      <c r="I105" s="2"/>
      <c r="J105" s="2"/>
      <c r="K105" s="2"/>
      <c r="L105" s="116"/>
      <c r="M105" s="116"/>
      <c r="N105" s="116"/>
      <c r="O105" s="116"/>
      <c r="P105" s="116"/>
      <c r="Q105" s="116"/>
      <c r="R105" s="2"/>
      <c r="S105" s="2"/>
      <c r="T105" s="2"/>
      <c r="U105" s="2"/>
    </row>
    <row r="106" spans="1:27" ht="15.75" customHeight="1" x14ac:dyDescent="0.2">
      <c r="A106" s="145" t="s">
        <v>140</v>
      </c>
      <c r="B106" s="74">
        <v>11</v>
      </c>
      <c r="C106" s="74">
        <v>1.25</v>
      </c>
      <c r="D106" s="71">
        <f t="shared" si="11"/>
        <v>13.75</v>
      </c>
      <c r="E106" s="11"/>
      <c r="F106" s="2"/>
      <c r="G106" s="2"/>
      <c r="H106" s="2"/>
      <c r="I106" s="2"/>
      <c r="J106" s="2"/>
      <c r="K106" s="2"/>
      <c r="L106" s="116"/>
      <c r="M106" s="116"/>
      <c r="N106" s="116"/>
      <c r="O106" s="116"/>
      <c r="P106" s="116"/>
      <c r="Q106" s="116"/>
      <c r="R106" s="2"/>
      <c r="S106" s="2"/>
      <c r="T106" s="2"/>
      <c r="U106" s="2"/>
    </row>
    <row r="107" spans="1:27" ht="15.75" customHeight="1" x14ac:dyDescent="0.2">
      <c r="A107" s="145" t="s">
        <v>141</v>
      </c>
      <c r="B107" s="73">
        <v>7</v>
      </c>
      <c r="C107" s="73">
        <v>1.2</v>
      </c>
      <c r="D107" s="71">
        <f t="shared" si="11"/>
        <v>8.4</v>
      </c>
      <c r="E107" s="11"/>
      <c r="F107" s="2"/>
      <c r="G107" s="2"/>
      <c r="H107" s="2"/>
      <c r="I107" s="2"/>
      <c r="J107" s="2"/>
      <c r="K107" s="2"/>
      <c r="L107" s="116"/>
      <c r="M107" s="116"/>
      <c r="N107" s="116"/>
      <c r="O107" s="116"/>
      <c r="P107" s="116"/>
      <c r="Q107" s="116"/>
      <c r="R107" s="2"/>
      <c r="S107" s="2"/>
      <c r="T107" s="2"/>
      <c r="U107" s="2"/>
    </row>
    <row r="108" spans="1:27" ht="15.75" customHeight="1" x14ac:dyDescent="0.2">
      <c r="A108" s="72" t="s">
        <v>68</v>
      </c>
      <c r="B108" s="73">
        <v>7.8</v>
      </c>
      <c r="C108" s="74">
        <v>2.99</v>
      </c>
      <c r="D108" s="71">
        <f t="shared" si="11"/>
        <v>23.322000000000003</v>
      </c>
      <c r="E108" s="11"/>
      <c r="F108" s="17"/>
      <c r="G108" s="18"/>
      <c r="H108" s="18"/>
      <c r="I108" s="75"/>
      <c r="J108" s="76"/>
      <c r="K108" s="76"/>
      <c r="L108" s="116"/>
      <c r="M108" s="116"/>
      <c r="N108" s="116"/>
      <c r="O108" s="116"/>
      <c r="P108" s="116"/>
      <c r="Q108" s="116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72" t="s">
        <v>69</v>
      </c>
      <c r="B109" s="73">
        <v>6.6</v>
      </c>
      <c r="C109" s="74">
        <v>2.99</v>
      </c>
      <c r="D109" s="71">
        <f t="shared" si="11"/>
        <v>19.734000000000002</v>
      </c>
      <c r="E109" s="11"/>
      <c r="F109" s="17"/>
      <c r="G109" s="18"/>
      <c r="H109" s="18"/>
      <c r="I109" s="75"/>
      <c r="J109" s="76"/>
      <c r="K109" s="76"/>
      <c r="L109" s="116"/>
      <c r="M109" s="116"/>
      <c r="N109" s="116"/>
      <c r="O109" s="116"/>
      <c r="P109" s="116"/>
      <c r="Q109" s="116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72" t="s">
        <v>70</v>
      </c>
      <c r="B110" s="73">
        <v>4.7</v>
      </c>
      <c r="C110" s="74">
        <v>2.99</v>
      </c>
      <c r="D110" s="71">
        <f t="shared" si="11"/>
        <v>14.053000000000001</v>
      </c>
      <c r="E110" s="11"/>
      <c r="F110" s="17"/>
      <c r="G110" s="18"/>
      <c r="H110" s="18"/>
      <c r="I110" s="75"/>
      <c r="J110" s="76"/>
      <c r="K110" s="76"/>
      <c r="L110" s="116"/>
      <c r="M110" s="116"/>
      <c r="N110" s="116"/>
      <c r="O110" s="116"/>
      <c r="P110" s="116"/>
      <c r="Q110" s="116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145" t="s">
        <v>142</v>
      </c>
      <c r="B111" s="74">
        <v>34</v>
      </c>
      <c r="C111" s="74">
        <v>1.1000000000000001</v>
      </c>
      <c r="D111" s="71">
        <f t="shared" si="11"/>
        <v>37.400000000000006</v>
      </c>
      <c r="E111" s="11"/>
      <c r="F111" s="17"/>
      <c r="G111" s="18"/>
      <c r="H111" s="18"/>
      <c r="I111" s="75"/>
      <c r="J111" s="76"/>
      <c r="K111" s="76"/>
      <c r="L111" s="116"/>
      <c r="M111" s="116"/>
      <c r="N111" s="116"/>
      <c r="O111" s="116"/>
      <c r="P111" s="116"/>
      <c r="Q111" s="116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72" t="s">
        <v>71</v>
      </c>
      <c r="B112" s="73">
        <v>2</v>
      </c>
      <c r="C112" s="73">
        <v>0.75</v>
      </c>
      <c r="D112" s="71">
        <f t="shared" si="11"/>
        <v>1.5</v>
      </c>
      <c r="E112" s="11"/>
      <c r="F112" s="17"/>
      <c r="G112" s="18"/>
      <c r="H112" s="18"/>
      <c r="I112" s="75"/>
      <c r="J112" s="76"/>
      <c r="K112" s="76"/>
      <c r="L112" s="116"/>
      <c r="M112" s="116"/>
      <c r="N112" s="116"/>
      <c r="O112" s="116"/>
      <c r="P112" s="116"/>
      <c r="Q112" s="116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145" t="s">
        <v>143</v>
      </c>
      <c r="B113" s="73">
        <v>43</v>
      </c>
      <c r="C113" s="73">
        <v>0.7</v>
      </c>
      <c r="D113" s="71">
        <f t="shared" si="11"/>
        <v>30.099999999999998</v>
      </c>
      <c r="E113" s="11"/>
      <c r="F113" s="17"/>
      <c r="G113" s="18"/>
      <c r="H113" s="18"/>
      <c r="I113" s="75"/>
      <c r="J113" s="76"/>
      <c r="K113" s="76"/>
      <c r="L113" s="116"/>
      <c r="M113" s="116"/>
      <c r="N113" s="116"/>
      <c r="O113" s="116"/>
      <c r="P113" s="116"/>
      <c r="Q113" s="116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145" t="s">
        <v>144</v>
      </c>
      <c r="B114" s="73">
        <v>30</v>
      </c>
      <c r="C114" s="73">
        <v>0.7</v>
      </c>
      <c r="D114" s="71">
        <f t="shared" si="11"/>
        <v>21</v>
      </c>
      <c r="E114" s="11"/>
      <c r="F114" s="17"/>
      <c r="G114" s="18"/>
      <c r="H114" s="18"/>
      <c r="I114" s="75"/>
      <c r="J114" s="76"/>
      <c r="K114" s="76"/>
      <c r="L114" s="116"/>
      <c r="M114" s="116"/>
      <c r="N114" s="116"/>
      <c r="O114" s="116"/>
      <c r="P114" s="116"/>
      <c r="Q114" s="116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72" t="s">
        <v>72</v>
      </c>
      <c r="B115" s="73">
        <f>22+40+39+15+17+15</f>
        <v>148</v>
      </c>
      <c r="C115" s="73">
        <v>0.94</v>
      </c>
      <c r="D115" s="71">
        <f t="shared" si="11"/>
        <v>139.12</v>
      </c>
      <c r="E115" s="11"/>
      <c r="F115" s="17"/>
      <c r="G115" s="18"/>
      <c r="H115" s="18"/>
      <c r="I115" s="75"/>
      <c r="J115" s="76"/>
      <c r="K115" s="76"/>
      <c r="L115" s="116"/>
      <c r="M115" s="116"/>
      <c r="N115" s="116"/>
      <c r="O115" s="116"/>
      <c r="P115" s="116"/>
      <c r="Q115" s="116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72" t="s">
        <v>73</v>
      </c>
      <c r="B116" s="73">
        <v>0</v>
      </c>
      <c r="C116" s="73">
        <v>1.24</v>
      </c>
      <c r="D116" s="71">
        <f t="shared" si="11"/>
        <v>0</v>
      </c>
      <c r="E116" s="11"/>
      <c r="F116" s="17"/>
      <c r="G116" s="18"/>
      <c r="H116" s="18"/>
      <c r="I116" s="75"/>
      <c r="J116" s="76"/>
      <c r="K116" s="76"/>
      <c r="L116" s="116"/>
      <c r="M116" s="116"/>
      <c r="N116" s="116"/>
      <c r="O116" s="116"/>
      <c r="P116" s="116"/>
      <c r="Q116" s="116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72" t="s">
        <v>74</v>
      </c>
      <c r="B117" s="73">
        <v>7.1</v>
      </c>
      <c r="C117" s="74">
        <v>5.05</v>
      </c>
      <c r="D117" s="71">
        <f t="shared" si="11"/>
        <v>35.854999999999997</v>
      </c>
      <c r="E117" s="11"/>
      <c r="F117" s="17"/>
      <c r="G117" s="18"/>
      <c r="H117" s="18"/>
      <c r="I117" s="75"/>
      <c r="J117" s="76"/>
      <c r="K117" s="76"/>
      <c r="L117" s="116"/>
      <c r="M117" s="116"/>
      <c r="N117" s="116"/>
      <c r="O117" s="116"/>
      <c r="P117" s="116"/>
      <c r="Q117" s="116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77" t="s">
        <v>75</v>
      </c>
      <c r="B118" s="73">
        <v>24</v>
      </c>
      <c r="C118" s="73">
        <v>0.15</v>
      </c>
      <c r="D118" s="71">
        <f t="shared" si="11"/>
        <v>3.5999999999999996</v>
      </c>
      <c r="E118" s="11"/>
      <c r="F118" s="17"/>
      <c r="G118" s="18"/>
      <c r="H118" s="18"/>
      <c r="I118" s="75"/>
      <c r="J118" s="76"/>
      <c r="K118" s="76"/>
      <c r="L118" s="116"/>
      <c r="M118" s="116"/>
      <c r="N118" s="116"/>
      <c r="O118" s="116"/>
      <c r="P118" s="116"/>
      <c r="Q118" s="116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145" t="s">
        <v>145</v>
      </c>
      <c r="B119" s="73">
        <v>54</v>
      </c>
      <c r="C119" s="73">
        <v>0.55000000000000004</v>
      </c>
      <c r="D119" s="71">
        <f t="shared" si="11"/>
        <v>29.700000000000003</v>
      </c>
      <c r="E119" s="11"/>
      <c r="F119" s="17"/>
      <c r="G119" s="18"/>
      <c r="H119" s="18"/>
      <c r="I119" s="75"/>
      <c r="J119" s="76"/>
      <c r="K119" s="76"/>
      <c r="L119" s="116"/>
      <c r="M119" s="116"/>
      <c r="N119" s="116"/>
      <c r="O119" s="116"/>
      <c r="P119" s="116"/>
      <c r="Q119" s="116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145" t="s">
        <v>146</v>
      </c>
      <c r="B120" s="73">
        <v>72</v>
      </c>
      <c r="C120" s="74">
        <v>0.55000000000000004</v>
      </c>
      <c r="D120" s="71">
        <f t="shared" si="11"/>
        <v>39.6</v>
      </c>
      <c r="E120" s="11"/>
      <c r="F120" s="17"/>
      <c r="G120" s="18"/>
      <c r="H120" s="18"/>
      <c r="I120" s="75"/>
      <c r="J120" s="76"/>
      <c r="K120" s="76"/>
      <c r="L120" s="116"/>
      <c r="M120" s="116"/>
      <c r="N120" s="116"/>
      <c r="O120" s="116"/>
      <c r="P120" s="116"/>
      <c r="Q120" s="116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78"/>
      <c r="B121" s="79"/>
      <c r="C121" s="80"/>
      <c r="D121" s="82"/>
      <c r="E121" s="81"/>
      <c r="F121" s="17"/>
      <c r="G121" s="18"/>
      <c r="H121" s="18"/>
      <c r="I121" s="19"/>
      <c r="J121" s="20"/>
      <c r="K121" s="20"/>
      <c r="L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83" t="s">
        <v>77</v>
      </c>
      <c r="B122" s="84"/>
      <c r="C122" s="84"/>
      <c r="D122" s="85"/>
      <c r="E122" s="11"/>
      <c r="F122" s="123"/>
      <c r="G122" s="124"/>
      <c r="H122" s="124"/>
      <c r="I122" s="125"/>
      <c r="J122" s="126"/>
      <c r="K122" s="126"/>
      <c r="L122" s="116"/>
      <c r="M122" s="121"/>
      <c r="N122" s="121"/>
      <c r="O122" s="121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2"/>
      <c r="AA122" s="2"/>
    </row>
    <row r="123" spans="1:27" ht="15.75" customHeight="1" x14ac:dyDescent="0.2">
      <c r="A123" s="83" t="s">
        <v>78</v>
      </c>
      <c r="B123" s="86">
        <v>44</v>
      </c>
      <c r="C123" s="87">
        <v>1.37</v>
      </c>
      <c r="D123" s="85">
        <f t="shared" ref="D123:D137" si="12">SUM(B123*C123)</f>
        <v>60.28</v>
      </c>
      <c r="E123" s="11"/>
      <c r="F123" s="123"/>
      <c r="G123" s="127"/>
      <c r="H123" s="128"/>
      <c r="I123" s="129"/>
      <c r="J123" s="130"/>
      <c r="K123" s="126"/>
      <c r="L123" s="116"/>
      <c r="M123" s="121"/>
      <c r="N123" s="121"/>
      <c r="O123" s="121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2"/>
      <c r="AA123" s="2"/>
    </row>
    <row r="124" spans="1:27" ht="15.75" customHeight="1" x14ac:dyDescent="0.2">
      <c r="A124" s="83" t="s">
        <v>79</v>
      </c>
      <c r="B124" s="86">
        <v>36</v>
      </c>
      <c r="C124" s="87">
        <v>1.37</v>
      </c>
      <c r="D124" s="85">
        <f t="shared" si="12"/>
        <v>49.320000000000007</v>
      </c>
      <c r="E124" s="11"/>
      <c r="F124" s="123"/>
      <c r="G124" s="127"/>
      <c r="H124" s="128"/>
      <c r="I124" s="129"/>
      <c r="J124" s="130"/>
      <c r="K124" s="126"/>
      <c r="L124" s="116"/>
      <c r="M124" s="121"/>
      <c r="N124" s="121"/>
      <c r="O124" s="121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2"/>
      <c r="AA124" s="2"/>
    </row>
    <row r="125" spans="1:27" ht="15.75" customHeight="1" x14ac:dyDescent="0.2">
      <c r="A125" s="88" t="s">
        <v>80</v>
      </c>
      <c r="B125" s="86">
        <v>23</v>
      </c>
      <c r="C125" s="87">
        <v>1.19</v>
      </c>
      <c r="D125" s="85">
        <f t="shared" si="12"/>
        <v>27.369999999999997</v>
      </c>
      <c r="E125" s="11"/>
      <c r="F125" s="123"/>
      <c r="G125" s="127"/>
      <c r="H125" s="131"/>
      <c r="I125" s="132"/>
      <c r="J125" s="130"/>
      <c r="K125" s="126"/>
      <c r="L125" s="116"/>
      <c r="M125" s="121"/>
      <c r="N125" s="121"/>
      <c r="O125" s="121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2"/>
      <c r="AA125" s="2"/>
    </row>
    <row r="126" spans="1:27" ht="15.75" customHeight="1" x14ac:dyDescent="0.2">
      <c r="A126" s="83" t="s">
        <v>81</v>
      </c>
      <c r="B126" s="86">
        <v>5</v>
      </c>
      <c r="C126" s="87">
        <v>1.08</v>
      </c>
      <c r="D126" s="85">
        <f t="shared" si="12"/>
        <v>5.4</v>
      </c>
      <c r="E126" s="11"/>
      <c r="F126" s="123"/>
      <c r="G126" s="127"/>
      <c r="H126" s="131"/>
      <c r="I126" s="132"/>
      <c r="J126" s="130"/>
      <c r="K126" s="126"/>
      <c r="L126" s="116"/>
      <c r="M126" s="121"/>
      <c r="N126" s="121"/>
      <c r="O126" s="121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2"/>
      <c r="AA126" s="2"/>
    </row>
    <row r="127" spans="1:27" ht="15.75" customHeight="1" x14ac:dyDescent="0.2">
      <c r="A127" s="83" t="s">
        <v>82</v>
      </c>
      <c r="B127" s="86">
        <v>9</v>
      </c>
      <c r="C127" s="86">
        <v>0.94</v>
      </c>
      <c r="D127" s="85">
        <f t="shared" si="12"/>
        <v>8.4599999999999991</v>
      </c>
      <c r="E127" s="11"/>
      <c r="F127" s="123"/>
      <c r="G127" s="127"/>
      <c r="H127" s="131"/>
      <c r="I127" s="132"/>
      <c r="J127" s="130"/>
      <c r="K127" s="126"/>
      <c r="L127" s="116"/>
      <c r="M127" s="121"/>
      <c r="N127" s="121"/>
      <c r="O127" s="121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2"/>
      <c r="AA127" s="2"/>
    </row>
    <row r="128" spans="1:27" ht="15.75" customHeight="1" x14ac:dyDescent="0.2">
      <c r="A128" s="147" t="s">
        <v>148</v>
      </c>
      <c r="B128" s="86">
        <v>7</v>
      </c>
      <c r="C128" s="87">
        <v>0.85</v>
      </c>
      <c r="D128" s="85">
        <f t="shared" si="12"/>
        <v>5.95</v>
      </c>
      <c r="E128" s="11"/>
      <c r="F128" s="123"/>
      <c r="G128" s="127"/>
      <c r="H128" s="131"/>
      <c r="I128" s="132"/>
      <c r="J128" s="130"/>
      <c r="K128" s="126"/>
      <c r="L128" s="116"/>
      <c r="M128" s="121"/>
      <c r="N128" s="121"/>
      <c r="O128" s="121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2"/>
      <c r="AA128" s="2"/>
    </row>
    <row r="129" spans="1:27" ht="15.75" customHeight="1" x14ac:dyDescent="0.2">
      <c r="A129" s="83" t="s">
        <v>83</v>
      </c>
      <c r="B129" s="86">
        <v>60</v>
      </c>
      <c r="C129" s="87">
        <v>1.02</v>
      </c>
      <c r="D129" s="85">
        <f t="shared" si="12"/>
        <v>61.2</v>
      </c>
      <c r="E129" s="11"/>
      <c r="F129" s="123"/>
      <c r="G129" s="127"/>
      <c r="H129" s="131"/>
      <c r="I129" s="132"/>
      <c r="J129" s="130"/>
      <c r="K129" s="126"/>
      <c r="L129" s="116"/>
      <c r="M129" s="121"/>
      <c r="N129" s="121"/>
      <c r="O129" s="121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2"/>
      <c r="AA129" s="2"/>
    </row>
    <row r="130" spans="1:27" ht="15.75" customHeight="1" x14ac:dyDescent="0.2">
      <c r="A130" s="147" t="s">
        <v>149</v>
      </c>
      <c r="B130" s="86">
        <v>152</v>
      </c>
      <c r="C130" s="86">
        <v>1.33</v>
      </c>
      <c r="D130" s="85">
        <f t="shared" si="12"/>
        <v>202.16000000000003</v>
      </c>
      <c r="E130" s="11"/>
      <c r="F130" s="123"/>
      <c r="G130" s="127"/>
      <c r="H130" s="131"/>
      <c r="I130" s="132"/>
      <c r="J130" s="130"/>
      <c r="K130" s="126"/>
      <c r="L130" s="116"/>
      <c r="M130" s="121"/>
      <c r="N130" s="121"/>
      <c r="O130" s="121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2"/>
      <c r="AA130" s="2"/>
    </row>
    <row r="131" spans="1:27" ht="15.75" customHeight="1" x14ac:dyDescent="0.2">
      <c r="A131" s="147" t="s">
        <v>150</v>
      </c>
      <c r="B131" s="86">
        <v>22</v>
      </c>
      <c r="C131" s="87">
        <v>1.06</v>
      </c>
      <c r="D131" s="85">
        <f t="shared" si="12"/>
        <v>23.32</v>
      </c>
      <c r="E131" s="11"/>
      <c r="F131" s="123"/>
      <c r="G131" s="127"/>
      <c r="H131" s="131"/>
      <c r="I131" s="132"/>
      <c r="J131" s="130"/>
      <c r="K131" s="126"/>
      <c r="L131" s="116"/>
      <c r="M131" s="121"/>
      <c r="N131" s="121"/>
      <c r="O131" s="121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2"/>
      <c r="AA131" s="2"/>
    </row>
    <row r="132" spans="1:27" ht="15.75" customHeight="1" x14ac:dyDescent="0.2">
      <c r="A132" s="147" t="s">
        <v>151</v>
      </c>
      <c r="B132" s="86">
        <v>22</v>
      </c>
      <c r="C132" s="86">
        <v>1.29</v>
      </c>
      <c r="D132" s="85">
        <f t="shared" si="12"/>
        <v>28.380000000000003</v>
      </c>
      <c r="E132" s="11"/>
      <c r="F132" s="123"/>
      <c r="G132" s="127"/>
      <c r="H132" s="131"/>
      <c r="I132" s="132"/>
      <c r="J132" s="130"/>
      <c r="K132" s="126"/>
      <c r="L132" s="116"/>
      <c r="M132" s="121"/>
      <c r="N132" s="121"/>
      <c r="O132" s="121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2"/>
      <c r="AA132" s="2"/>
    </row>
    <row r="133" spans="1:27" ht="15.75" customHeight="1" x14ac:dyDescent="0.2">
      <c r="A133" s="147" t="s">
        <v>152</v>
      </c>
      <c r="B133" s="86">
        <v>17</v>
      </c>
      <c r="C133" s="86">
        <v>0.94</v>
      </c>
      <c r="D133" s="85">
        <f t="shared" si="12"/>
        <v>15.979999999999999</v>
      </c>
      <c r="E133" s="11"/>
      <c r="F133" s="123"/>
      <c r="G133" s="127"/>
      <c r="H133" s="131"/>
      <c r="I133" s="132"/>
      <c r="J133" s="130"/>
      <c r="K133" s="126"/>
      <c r="L133" s="116"/>
      <c r="M133" s="121"/>
      <c r="N133" s="121"/>
      <c r="O133" s="121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2"/>
      <c r="AA133" s="2"/>
    </row>
    <row r="134" spans="1:27" ht="15.75" customHeight="1" x14ac:dyDescent="0.2">
      <c r="A134" s="147" t="s">
        <v>154</v>
      </c>
      <c r="B134" s="87">
        <v>25</v>
      </c>
      <c r="C134" s="87">
        <v>0.75</v>
      </c>
      <c r="D134" s="85">
        <f t="shared" si="12"/>
        <v>18.75</v>
      </c>
      <c r="E134" s="11"/>
      <c r="F134" s="123"/>
      <c r="G134" s="127"/>
      <c r="H134" s="131"/>
      <c r="I134" s="132"/>
      <c r="J134" s="130"/>
      <c r="K134" s="126"/>
      <c r="L134" s="116"/>
      <c r="M134" s="121"/>
      <c r="N134" s="121"/>
      <c r="O134" s="121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2"/>
      <c r="AA134" s="2"/>
    </row>
    <row r="135" spans="1:27" ht="15.75" customHeight="1" x14ac:dyDescent="0.2">
      <c r="A135" s="147" t="s">
        <v>155</v>
      </c>
      <c r="B135" s="87">
        <v>16</v>
      </c>
      <c r="C135" s="87">
        <v>0.89</v>
      </c>
      <c r="D135" s="85">
        <f t="shared" si="12"/>
        <v>14.24</v>
      </c>
      <c r="E135" s="11"/>
      <c r="F135" s="123"/>
      <c r="G135" s="127"/>
      <c r="H135" s="131"/>
      <c r="I135" s="132"/>
      <c r="J135" s="130"/>
      <c r="K135" s="126"/>
      <c r="L135" s="116"/>
      <c r="M135" s="121"/>
      <c r="N135" s="121"/>
      <c r="O135" s="121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2"/>
      <c r="AA135" s="2"/>
    </row>
    <row r="136" spans="1:27" ht="15.75" customHeight="1" x14ac:dyDescent="0.2">
      <c r="A136" s="147" t="s">
        <v>156</v>
      </c>
      <c r="B136" s="87">
        <v>22</v>
      </c>
      <c r="C136" s="87">
        <v>1.25</v>
      </c>
      <c r="D136" s="85">
        <f t="shared" si="12"/>
        <v>27.5</v>
      </c>
      <c r="E136" s="11"/>
      <c r="F136" s="123"/>
      <c r="G136" s="127"/>
      <c r="H136" s="131"/>
      <c r="I136" s="132"/>
      <c r="J136" s="130"/>
      <c r="K136" s="126"/>
      <c r="L136" s="116"/>
      <c r="M136" s="121"/>
      <c r="N136" s="121"/>
      <c r="O136" s="121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2"/>
      <c r="AA136" s="2"/>
    </row>
    <row r="137" spans="1:27" ht="15.75" customHeight="1" x14ac:dyDescent="0.2">
      <c r="A137" s="147" t="s">
        <v>153</v>
      </c>
      <c r="B137" s="86">
        <v>12</v>
      </c>
      <c r="C137" s="86">
        <v>0.84</v>
      </c>
      <c r="D137" s="85">
        <f t="shared" si="12"/>
        <v>10.08</v>
      </c>
      <c r="E137" s="11"/>
      <c r="F137" s="123"/>
      <c r="G137" s="127"/>
      <c r="H137" s="131"/>
      <c r="I137" s="132"/>
      <c r="J137" s="130"/>
      <c r="K137" s="126"/>
      <c r="L137" s="116"/>
      <c r="M137" s="121"/>
      <c r="N137" s="121"/>
      <c r="O137" s="121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2"/>
      <c r="AA137" s="2"/>
    </row>
    <row r="138" spans="1:27" ht="15.75" customHeight="1" x14ac:dyDescent="0.2">
      <c r="A138" s="21"/>
      <c r="B138" s="22"/>
      <c r="C138" s="22"/>
      <c r="D138" s="23"/>
      <c r="E138" s="11"/>
      <c r="F138" s="123"/>
      <c r="G138" s="127"/>
      <c r="H138" s="131"/>
      <c r="I138" s="132"/>
      <c r="J138" s="130"/>
      <c r="K138" s="126"/>
      <c r="L138" s="116"/>
      <c r="M138" s="121"/>
      <c r="N138" s="121"/>
      <c r="O138" s="121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2"/>
      <c r="AA138" s="2"/>
    </row>
    <row r="139" spans="1:27" ht="15.75" customHeight="1" x14ac:dyDescent="0.2">
      <c r="A139" s="89" t="s">
        <v>84</v>
      </c>
      <c r="B139" s="90"/>
      <c r="C139" s="90"/>
      <c r="D139" s="90"/>
      <c r="E139" s="11"/>
      <c r="F139" s="123"/>
      <c r="G139" s="127"/>
      <c r="H139" s="131"/>
      <c r="I139" s="132"/>
      <c r="J139" s="130"/>
      <c r="K139" s="126"/>
      <c r="L139" s="116"/>
      <c r="M139" s="121"/>
      <c r="N139" s="121"/>
      <c r="O139" s="121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2"/>
      <c r="AA139" s="2"/>
    </row>
    <row r="140" spans="1:27" ht="15.75" customHeight="1" x14ac:dyDescent="0.2">
      <c r="A140" s="89" t="s">
        <v>85</v>
      </c>
      <c r="B140" s="91">
        <v>3</v>
      </c>
      <c r="C140" s="92">
        <v>86.4</v>
      </c>
      <c r="D140" s="93">
        <f t="shared" ref="D140:D149" si="13">SUM(B140*C140)</f>
        <v>259.20000000000005</v>
      </c>
      <c r="E140" s="11"/>
      <c r="F140" s="123"/>
      <c r="G140" s="127"/>
      <c r="H140" s="131"/>
      <c r="I140" s="132"/>
      <c r="J140" s="130"/>
      <c r="K140" s="126"/>
      <c r="L140" s="116"/>
      <c r="M140" s="118"/>
      <c r="N140" s="119"/>
      <c r="O140" s="119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2"/>
      <c r="AA140" s="2"/>
    </row>
    <row r="141" spans="1:27" ht="15.75" customHeight="1" x14ac:dyDescent="0.2">
      <c r="A141" s="89" t="s">
        <v>86</v>
      </c>
      <c r="B141" s="91">
        <v>0</v>
      </c>
      <c r="C141" s="92">
        <v>104.4</v>
      </c>
      <c r="D141" s="93">
        <f t="shared" si="13"/>
        <v>0</v>
      </c>
      <c r="E141" s="11"/>
      <c r="F141" s="123"/>
      <c r="G141" s="127"/>
      <c r="H141" s="128"/>
      <c r="I141" s="129"/>
      <c r="J141" s="130"/>
      <c r="K141" s="12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2"/>
      <c r="AA141" s="2"/>
    </row>
    <row r="142" spans="1:27" ht="15.75" customHeight="1" x14ac:dyDescent="0.2">
      <c r="A142" s="89" t="s">
        <v>87</v>
      </c>
      <c r="B142" s="91">
        <v>8.3000000000000007</v>
      </c>
      <c r="C142" s="92">
        <v>100.8</v>
      </c>
      <c r="D142" s="93">
        <f t="shared" si="13"/>
        <v>836.6400000000001</v>
      </c>
      <c r="E142" s="11"/>
      <c r="F142" s="123"/>
      <c r="G142" s="127"/>
      <c r="H142" s="128"/>
      <c r="I142" s="132"/>
      <c r="J142" s="130"/>
      <c r="K142" s="12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2"/>
      <c r="AA142" s="2"/>
    </row>
    <row r="143" spans="1:27" ht="15.75" customHeight="1" x14ac:dyDescent="0.2">
      <c r="A143" s="94" t="s">
        <v>88</v>
      </c>
      <c r="B143" s="91">
        <v>1.7</v>
      </c>
      <c r="C143" s="92">
        <v>96</v>
      </c>
      <c r="D143" s="93">
        <f t="shared" si="13"/>
        <v>163.19999999999999</v>
      </c>
      <c r="E143" s="11"/>
      <c r="F143" s="123"/>
      <c r="G143" s="127"/>
      <c r="H143" s="128"/>
      <c r="I143" s="132"/>
      <c r="J143" s="130"/>
      <c r="K143" s="126"/>
      <c r="L143" s="116"/>
      <c r="M143" s="116"/>
      <c r="N143" s="133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2"/>
      <c r="AA143" s="2"/>
    </row>
    <row r="144" spans="1:27" ht="15.75" customHeight="1" x14ac:dyDescent="0.2">
      <c r="A144" s="148" t="s">
        <v>158</v>
      </c>
      <c r="B144" s="91">
        <v>1</v>
      </c>
      <c r="C144" s="92">
        <v>80</v>
      </c>
      <c r="D144" s="93">
        <f t="shared" si="13"/>
        <v>80</v>
      </c>
      <c r="E144" s="11"/>
      <c r="F144" s="123"/>
      <c r="G144" s="127"/>
      <c r="H144" s="128"/>
      <c r="I144" s="132"/>
      <c r="J144" s="130"/>
      <c r="K144" s="126"/>
      <c r="L144" s="116"/>
      <c r="M144" s="116"/>
      <c r="N144" s="133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2"/>
      <c r="AA144" s="2"/>
    </row>
    <row r="145" spans="1:27" ht="15.75" customHeight="1" x14ac:dyDescent="0.2">
      <c r="A145" s="148" t="s">
        <v>157</v>
      </c>
      <c r="B145" s="91">
        <v>3</v>
      </c>
      <c r="C145" s="92">
        <v>52</v>
      </c>
      <c r="D145" s="93">
        <f t="shared" si="13"/>
        <v>156</v>
      </c>
      <c r="E145" s="11"/>
      <c r="F145" s="123"/>
      <c r="G145" s="127"/>
      <c r="H145" s="131"/>
      <c r="I145" s="132"/>
      <c r="J145" s="130"/>
      <c r="K145" s="126"/>
      <c r="L145" s="116"/>
      <c r="M145" s="116"/>
      <c r="N145" s="133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2"/>
      <c r="AA145" s="2"/>
    </row>
    <row r="146" spans="1:27" ht="15.75" customHeight="1" x14ac:dyDescent="0.2">
      <c r="A146" s="148" t="s">
        <v>159</v>
      </c>
      <c r="B146" s="91">
        <v>1</v>
      </c>
      <c r="C146" s="92">
        <v>88</v>
      </c>
      <c r="D146" s="93">
        <f t="shared" si="13"/>
        <v>88</v>
      </c>
      <c r="E146" s="11"/>
      <c r="F146" s="123"/>
      <c r="G146" s="127"/>
      <c r="H146" s="131"/>
      <c r="I146" s="132"/>
      <c r="J146" s="130"/>
      <c r="K146" s="12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2"/>
      <c r="AA146" s="2"/>
    </row>
    <row r="147" spans="1:27" ht="15.75" customHeight="1" x14ac:dyDescent="0.2">
      <c r="A147" s="148" t="s">
        <v>160</v>
      </c>
      <c r="B147" s="91">
        <v>1</v>
      </c>
      <c r="C147" s="92">
        <v>88</v>
      </c>
      <c r="D147" s="93">
        <f t="shared" si="13"/>
        <v>88</v>
      </c>
      <c r="E147" s="11"/>
      <c r="F147" s="123"/>
      <c r="G147" s="127"/>
      <c r="H147" s="131"/>
      <c r="I147" s="132"/>
      <c r="J147" s="130"/>
      <c r="K147" s="12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2"/>
      <c r="AA147" s="2"/>
    </row>
    <row r="148" spans="1:27" ht="15.75" customHeight="1" x14ac:dyDescent="0.2">
      <c r="A148" s="148" t="s">
        <v>161</v>
      </c>
      <c r="B148" s="91">
        <v>1.2</v>
      </c>
      <c r="C148" s="92">
        <v>72</v>
      </c>
      <c r="D148" s="93">
        <f t="shared" si="13"/>
        <v>86.399999999999991</v>
      </c>
      <c r="E148" s="11"/>
      <c r="F148" s="123"/>
      <c r="G148" s="127"/>
      <c r="H148" s="131"/>
      <c r="I148" s="132"/>
      <c r="J148" s="130"/>
      <c r="K148" s="12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2"/>
      <c r="AA148" s="2"/>
    </row>
    <row r="149" spans="1:27" ht="15.75" customHeight="1" x14ac:dyDescent="0.2">
      <c r="A149" s="94" t="s">
        <v>89</v>
      </c>
      <c r="B149" s="91">
        <v>1</v>
      </c>
      <c r="C149" s="92">
        <v>96</v>
      </c>
      <c r="D149" s="93">
        <f t="shared" si="13"/>
        <v>96</v>
      </c>
      <c r="E149" s="11"/>
      <c r="F149" s="123"/>
      <c r="G149" s="124"/>
      <c r="H149" s="124"/>
      <c r="I149" s="125"/>
      <c r="J149" s="126"/>
      <c r="K149" s="12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2"/>
      <c r="AA149" s="2"/>
    </row>
    <row r="150" spans="1:27" ht="15.75" customHeight="1" x14ac:dyDescent="0.2">
      <c r="A150" s="21"/>
      <c r="B150" s="22"/>
      <c r="C150" s="22"/>
      <c r="D150" s="23"/>
      <c r="E150" s="11"/>
      <c r="F150" s="123"/>
      <c r="G150" s="124"/>
      <c r="H150" s="124"/>
      <c r="I150" s="125"/>
      <c r="J150" s="126"/>
      <c r="K150" s="126"/>
      <c r="L150" s="116"/>
      <c r="M150" s="121"/>
      <c r="N150" s="121"/>
      <c r="O150" s="121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2"/>
      <c r="AA150" s="2"/>
    </row>
    <row r="151" spans="1:27" ht="15.75" customHeight="1" x14ac:dyDescent="0.2">
      <c r="A151" s="95" t="s">
        <v>90</v>
      </c>
      <c r="B151" s="96"/>
      <c r="C151" s="96"/>
      <c r="D151" s="96"/>
      <c r="E151" s="11"/>
      <c r="F151" s="123"/>
      <c r="G151" s="124"/>
      <c r="H151" s="124"/>
      <c r="I151" s="125"/>
      <c r="J151" s="126"/>
      <c r="K151" s="12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2"/>
      <c r="AA151" s="2"/>
    </row>
    <row r="152" spans="1:27" ht="15.75" customHeight="1" x14ac:dyDescent="0.2">
      <c r="A152" s="95" t="s">
        <v>91</v>
      </c>
      <c r="B152" s="97">
        <v>2.4</v>
      </c>
      <c r="C152" s="98">
        <v>110</v>
      </c>
      <c r="D152" s="99">
        <f t="shared" ref="D152:D153" si="14">SUM(B152*C152)</f>
        <v>264</v>
      </c>
      <c r="E152" s="11"/>
      <c r="F152" s="123"/>
      <c r="G152" s="124"/>
      <c r="H152" s="124"/>
      <c r="I152" s="125"/>
      <c r="J152" s="126"/>
      <c r="K152" s="12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2"/>
      <c r="AA152" s="2"/>
    </row>
    <row r="153" spans="1:27" ht="15.75" customHeight="1" x14ac:dyDescent="0.2">
      <c r="A153" s="95" t="s">
        <v>92</v>
      </c>
      <c r="B153" s="97">
        <v>0</v>
      </c>
      <c r="C153" s="98">
        <v>124.8</v>
      </c>
      <c r="D153" s="99">
        <f t="shared" si="14"/>
        <v>0</v>
      </c>
      <c r="E153" s="11"/>
      <c r="F153" s="123"/>
      <c r="G153" s="124"/>
      <c r="H153" s="124"/>
      <c r="I153" s="125"/>
      <c r="J153" s="126"/>
      <c r="K153" s="126"/>
      <c r="L153" s="116"/>
      <c r="M153" s="122"/>
      <c r="N153" s="122"/>
      <c r="O153" s="122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2"/>
      <c r="AA153" s="2"/>
    </row>
    <row r="154" spans="1:27" ht="15.75" customHeight="1" x14ac:dyDescent="0.2">
      <c r="A154" s="95" t="s">
        <v>93</v>
      </c>
      <c r="B154" s="97">
        <v>1.4</v>
      </c>
      <c r="C154" s="98">
        <v>110</v>
      </c>
      <c r="D154" s="99">
        <f t="shared" ref="D154:D168" si="15">SUM(B154*C154)</f>
        <v>154</v>
      </c>
      <c r="E154" s="11"/>
      <c r="F154" s="123"/>
      <c r="G154" s="124"/>
      <c r="H154" s="124"/>
      <c r="I154" s="125"/>
      <c r="J154" s="126"/>
      <c r="K154" s="126"/>
      <c r="L154" s="116"/>
      <c r="M154" s="122"/>
      <c r="N154" s="122"/>
      <c r="O154" s="122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2"/>
      <c r="AA154" s="2"/>
    </row>
    <row r="155" spans="1:27" ht="15.75" customHeight="1" x14ac:dyDescent="0.2">
      <c r="A155" s="100" t="s">
        <v>94</v>
      </c>
      <c r="B155" s="97">
        <v>0</v>
      </c>
      <c r="C155" s="98">
        <v>125</v>
      </c>
      <c r="D155" s="99">
        <f t="shared" si="15"/>
        <v>0</v>
      </c>
      <c r="E155" s="11"/>
      <c r="F155" s="123"/>
      <c r="G155" s="124"/>
      <c r="H155" s="124"/>
      <c r="I155" s="125"/>
      <c r="J155" s="126"/>
      <c r="K155" s="12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2"/>
      <c r="AA155" s="2"/>
    </row>
    <row r="156" spans="1:27" ht="15.75" customHeight="1" x14ac:dyDescent="0.2">
      <c r="A156" s="149" t="s">
        <v>162</v>
      </c>
      <c r="B156" s="97">
        <v>19.399999999999999</v>
      </c>
      <c r="C156" s="98">
        <v>68</v>
      </c>
      <c r="D156" s="99">
        <f t="shared" si="15"/>
        <v>1319.1999999999998</v>
      </c>
      <c r="E156" s="11"/>
      <c r="F156" s="123"/>
      <c r="G156" s="124"/>
      <c r="H156" s="124"/>
      <c r="I156" s="125"/>
      <c r="J156" s="126"/>
      <c r="K156" s="12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2"/>
      <c r="AA156" s="2"/>
    </row>
    <row r="157" spans="1:27" ht="15.75" customHeight="1" x14ac:dyDescent="0.2">
      <c r="A157" s="149" t="s">
        <v>165</v>
      </c>
      <c r="B157" s="97">
        <v>4.9000000000000004</v>
      </c>
      <c r="C157" s="98">
        <v>76</v>
      </c>
      <c r="D157" s="99">
        <f t="shared" si="15"/>
        <v>372.40000000000003</v>
      </c>
      <c r="E157" s="11"/>
      <c r="F157" s="123"/>
      <c r="G157" s="124"/>
      <c r="H157" s="124"/>
      <c r="I157" s="125"/>
      <c r="J157" s="126"/>
      <c r="K157" s="12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2"/>
      <c r="AA157" s="2"/>
    </row>
    <row r="158" spans="1:27" ht="15.75" customHeight="1" x14ac:dyDescent="0.2">
      <c r="A158" s="95" t="s">
        <v>95</v>
      </c>
      <c r="B158" s="97">
        <v>0</v>
      </c>
      <c r="C158" s="98">
        <v>129.6</v>
      </c>
      <c r="D158" s="99">
        <f t="shared" si="15"/>
        <v>0</v>
      </c>
      <c r="E158" s="11"/>
      <c r="F158" s="123"/>
      <c r="G158" s="124"/>
      <c r="H158" s="124"/>
      <c r="I158" s="125"/>
      <c r="J158" s="126"/>
      <c r="K158" s="12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2"/>
      <c r="AA158" s="2"/>
    </row>
    <row r="159" spans="1:27" ht="15.75" customHeight="1" x14ac:dyDescent="0.2">
      <c r="A159" s="149" t="s">
        <v>163</v>
      </c>
      <c r="B159" s="97">
        <v>11.2</v>
      </c>
      <c r="C159" s="98">
        <v>91</v>
      </c>
      <c r="D159" s="99">
        <f t="shared" si="15"/>
        <v>1019.1999999999999</v>
      </c>
      <c r="E159" s="11"/>
      <c r="F159" s="123"/>
      <c r="G159" s="124"/>
      <c r="H159" s="124"/>
      <c r="I159" s="125"/>
      <c r="J159" s="126"/>
      <c r="K159" s="12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2"/>
      <c r="AA159" s="2"/>
    </row>
    <row r="160" spans="1:27" ht="15.75" customHeight="1" x14ac:dyDescent="0.2">
      <c r="A160" s="95" t="s">
        <v>96</v>
      </c>
      <c r="B160" s="97">
        <v>0.2</v>
      </c>
      <c r="C160" s="98">
        <v>95</v>
      </c>
      <c r="D160" s="99">
        <f t="shared" si="15"/>
        <v>19</v>
      </c>
      <c r="E160" s="11"/>
      <c r="F160" s="123"/>
      <c r="G160" s="124"/>
      <c r="H160" s="124"/>
      <c r="I160" s="125"/>
      <c r="J160" s="126"/>
      <c r="K160" s="12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2"/>
      <c r="AA160" s="2"/>
    </row>
    <row r="161" spans="1:27" ht="15.75" customHeight="1" x14ac:dyDescent="0.2">
      <c r="A161" s="95" t="s">
        <v>97</v>
      </c>
      <c r="B161" s="97">
        <v>1</v>
      </c>
      <c r="C161" s="96">
        <v>174.5</v>
      </c>
      <c r="D161" s="99">
        <f t="shared" si="15"/>
        <v>174.5</v>
      </c>
      <c r="E161" s="11"/>
      <c r="F161" s="123"/>
      <c r="G161" s="124"/>
      <c r="H161" s="124"/>
      <c r="I161" s="125"/>
      <c r="J161" s="126"/>
      <c r="K161" s="12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2"/>
      <c r="AA161" s="2"/>
    </row>
    <row r="162" spans="1:27" ht="15.75" customHeight="1" x14ac:dyDescent="0.2">
      <c r="A162" s="95" t="s">
        <v>98</v>
      </c>
      <c r="B162" s="97">
        <v>0</v>
      </c>
      <c r="C162" s="96">
        <v>125</v>
      </c>
      <c r="D162" s="99">
        <f t="shared" si="15"/>
        <v>0</v>
      </c>
      <c r="E162" s="11"/>
      <c r="F162" s="123"/>
      <c r="G162" s="124"/>
      <c r="H162" s="124"/>
      <c r="I162" s="125"/>
      <c r="J162" s="126"/>
      <c r="K162" s="12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2"/>
      <c r="AA162" s="2"/>
    </row>
    <row r="163" spans="1:27" ht="15.75" customHeight="1" x14ac:dyDescent="0.2">
      <c r="A163" s="149" t="s">
        <v>164</v>
      </c>
      <c r="B163" s="97">
        <v>0.45</v>
      </c>
      <c r="C163" s="98">
        <v>138</v>
      </c>
      <c r="D163" s="99">
        <f t="shared" si="15"/>
        <v>62.1</v>
      </c>
      <c r="E163" s="11"/>
      <c r="F163" s="123"/>
      <c r="G163" s="124"/>
      <c r="H163" s="124"/>
      <c r="I163" s="125"/>
      <c r="J163" s="126"/>
      <c r="K163" s="12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2"/>
      <c r="AA163" s="2"/>
    </row>
    <row r="164" spans="1:27" ht="15.75" customHeight="1" x14ac:dyDescent="0.2">
      <c r="A164" s="95" t="s">
        <v>99</v>
      </c>
      <c r="B164" s="97">
        <v>0.3</v>
      </c>
      <c r="C164" s="98">
        <v>96</v>
      </c>
      <c r="D164" s="99">
        <f t="shared" si="15"/>
        <v>28.799999999999997</v>
      </c>
      <c r="E164" s="101"/>
      <c r="F164" s="123"/>
      <c r="G164" s="124"/>
      <c r="H164" s="124"/>
      <c r="I164" s="125"/>
      <c r="J164" s="126"/>
      <c r="K164" s="12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2"/>
      <c r="AA164" s="2"/>
    </row>
    <row r="165" spans="1:27" ht="15.75" customHeight="1" x14ac:dyDescent="0.2">
      <c r="A165" s="95" t="s">
        <v>100</v>
      </c>
      <c r="B165" s="97">
        <v>0</v>
      </c>
      <c r="C165" s="96">
        <v>140</v>
      </c>
      <c r="D165" s="99">
        <f t="shared" si="15"/>
        <v>0</v>
      </c>
      <c r="E165" s="101"/>
      <c r="F165" s="123"/>
      <c r="G165" s="124"/>
      <c r="H165" s="124"/>
      <c r="I165" s="125"/>
      <c r="J165" s="126"/>
      <c r="K165" s="12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2"/>
      <c r="AA165" s="2"/>
    </row>
    <row r="166" spans="1:27" ht="15.75" customHeight="1" x14ac:dyDescent="0.2">
      <c r="A166" s="95" t="s">
        <v>101</v>
      </c>
      <c r="B166" s="97">
        <v>0.4</v>
      </c>
      <c r="C166" s="98">
        <v>107</v>
      </c>
      <c r="D166" s="99">
        <f t="shared" si="15"/>
        <v>42.800000000000004</v>
      </c>
      <c r="E166" s="101"/>
      <c r="F166" s="123"/>
      <c r="G166" s="124"/>
      <c r="H166" s="124"/>
      <c r="I166" s="125"/>
      <c r="J166" s="126"/>
      <c r="K166" s="12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2"/>
      <c r="AA166" s="2"/>
    </row>
    <row r="167" spans="1:27" ht="15.75" customHeight="1" x14ac:dyDescent="0.2">
      <c r="A167" s="95" t="s">
        <v>102</v>
      </c>
      <c r="B167" s="97">
        <v>1.5</v>
      </c>
      <c r="C167" s="98">
        <v>85</v>
      </c>
      <c r="D167" s="99">
        <f t="shared" si="15"/>
        <v>127.5</v>
      </c>
      <c r="E167" s="101"/>
      <c r="F167" s="123"/>
      <c r="G167" s="124"/>
      <c r="H167" s="124"/>
      <c r="I167" s="125"/>
      <c r="J167" s="126"/>
      <c r="K167" s="12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2"/>
      <c r="AA167" s="2"/>
    </row>
    <row r="168" spans="1:27" ht="15.75" customHeight="1" x14ac:dyDescent="0.2">
      <c r="A168" s="100" t="s">
        <v>103</v>
      </c>
      <c r="B168" s="97">
        <v>2</v>
      </c>
      <c r="C168" s="98">
        <v>100</v>
      </c>
      <c r="D168" s="99">
        <f t="shared" si="15"/>
        <v>200</v>
      </c>
      <c r="E168" s="101"/>
      <c r="F168" s="123"/>
      <c r="G168" s="124"/>
      <c r="H168" s="124"/>
      <c r="I168" s="125"/>
      <c r="J168" s="126"/>
      <c r="K168" s="12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2"/>
      <c r="AA168" s="2"/>
    </row>
    <row r="169" spans="1:27" ht="15.75" customHeight="1" x14ac:dyDescent="0.2">
      <c r="A169" s="21"/>
      <c r="B169" s="22"/>
      <c r="C169" s="22"/>
      <c r="D169" s="23"/>
      <c r="F169" s="121"/>
      <c r="G169" s="121"/>
      <c r="H169" s="121"/>
      <c r="I169" s="121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2"/>
      <c r="AA169" s="2"/>
    </row>
    <row r="170" spans="1:27" ht="15.75" customHeight="1" x14ac:dyDescent="0.2">
      <c r="A170" s="102" t="s">
        <v>104</v>
      </c>
      <c r="B170" s="103"/>
      <c r="C170" s="103"/>
      <c r="D170" s="103"/>
      <c r="F170" s="121"/>
      <c r="G170" s="121"/>
      <c r="H170" s="121"/>
      <c r="I170" s="121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2"/>
      <c r="AA170" s="2"/>
    </row>
    <row r="171" spans="1:27" ht="15.75" customHeight="1" x14ac:dyDescent="0.2">
      <c r="A171" s="102" t="s">
        <v>105</v>
      </c>
      <c r="B171" s="104">
        <v>2.2000000000000002</v>
      </c>
      <c r="C171" s="105">
        <v>59.5</v>
      </c>
      <c r="D171" s="106">
        <f t="shared" ref="D171:D174" si="16">SUM(B171*C171)</f>
        <v>130.9</v>
      </c>
      <c r="F171" s="121"/>
      <c r="G171" s="121"/>
      <c r="H171" s="121"/>
      <c r="I171" s="121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2"/>
      <c r="AA171" s="2"/>
    </row>
    <row r="172" spans="1:27" ht="15.75" customHeight="1" x14ac:dyDescent="0.2">
      <c r="A172" s="102" t="s">
        <v>106</v>
      </c>
      <c r="B172" s="104">
        <v>1.2</v>
      </c>
      <c r="C172" s="105">
        <v>59.5</v>
      </c>
      <c r="D172" s="106">
        <f t="shared" si="16"/>
        <v>71.399999999999991</v>
      </c>
      <c r="F172" s="121"/>
      <c r="G172" s="121"/>
      <c r="H172" s="121"/>
      <c r="I172" s="121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2"/>
      <c r="AA172" s="2"/>
    </row>
    <row r="173" spans="1:27" ht="15.75" customHeight="1" x14ac:dyDescent="0.2">
      <c r="A173" s="102" t="s">
        <v>107</v>
      </c>
      <c r="B173" s="104">
        <v>0.9</v>
      </c>
      <c r="C173" s="105">
        <v>59.5</v>
      </c>
      <c r="D173" s="106">
        <f t="shared" si="16"/>
        <v>53.550000000000004</v>
      </c>
      <c r="F173" s="121"/>
      <c r="G173" s="121"/>
      <c r="H173" s="121"/>
      <c r="I173" s="121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2"/>
      <c r="AA173" s="2"/>
    </row>
    <row r="174" spans="1:27" ht="15.75" customHeight="1" x14ac:dyDescent="0.2">
      <c r="A174" s="102" t="s">
        <v>108</v>
      </c>
      <c r="B174" s="104">
        <v>2.0499999999999998</v>
      </c>
      <c r="C174" s="105">
        <v>59.5</v>
      </c>
      <c r="D174" s="106">
        <f t="shared" si="16"/>
        <v>121.97499999999999</v>
      </c>
      <c r="F174" s="121"/>
      <c r="G174" s="121"/>
      <c r="H174" s="121"/>
      <c r="I174" s="121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2"/>
      <c r="AA174" s="2"/>
    </row>
    <row r="175" spans="1:27" ht="15.75" customHeight="1" x14ac:dyDescent="0.2">
      <c r="A175" s="2"/>
      <c r="B175" s="107"/>
      <c r="C175" s="107"/>
      <c r="D175" s="23"/>
      <c r="E175" s="2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2"/>
      <c r="AA175" s="2"/>
    </row>
    <row r="176" spans="1:27" ht="15.75" customHeight="1" x14ac:dyDescent="0.2">
      <c r="A176" s="108" t="s">
        <v>109</v>
      </c>
      <c r="B176" s="109"/>
      <c r="C176" s="110"/>
      <c r="D176" s="110"/>
      <c r="E176" s="2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2"/>
      <c r="AA176" s="2"/>
    </row>
    <row r="177" spans="1:27" ht="15.75" customHeight="1" x14ac:dyDescent="0.2">
      <c r="A177" s="150" t="s">
        <v>166</v>
      </c>
      <c r="B177" s="111">
        <v>44</v>
      </c>
      <c r="C177" s="111">
        <v>0.65</v>
      </c>
      <c r="D177" s="112">
        <f t="shared" ref="D177:D178" si="17">SUM(B177*C177)</f>
        <v>28.6</v>
      </c>
      <c r="E177" s="2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2"/>
      <c r="AA177" s="2"/>
    </row>
    <row r="178" spans="1:27" ht="15.75" customHeight="1" x14ac:dyDescent="0.2">
      <c r="A178" s="113" t="s">
        <v>110</v>
      </c>
      <c r="B178" s="114">
        <v>0</v>
      </c>
      <c r="C178" s="115">
        <f>12.95/12</f>
        <v>1.0791666666666666</v>
      </c>
      <c r="D178" s="112">
        <f t="shared" si="17"/>
        <v>0</v>
      </c>
      <c r="E178" s="2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2"/>
      <c r="AA178" s="2"/>
    </row>
    <row r="179" spans="1:27" ht="15.75" customHeight="1" x14ac:dyDescent="0.2">
      <c r="A179" s="2"/>
      <c r="B179" s="2"/>
      <c r="C179" s="2"/>
      <c r="D179" s="2"/>
      <c r="E179" s="2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2"/>
      <c r="AA179" s="2"/>
    </row>
    <row r="180" spans="1:27" ht="15.75" customHeight="1" x14ac:dyDescent="0.2">
      <c r="A180" s="134" t="s">
        <v>121</v>
      </c>
      <c r="B180" s="135">
        <v>1</v>
      </c>
      <c r="C180" s="135">
        <v>840</v>
      </c>
      <c r="D180" s="135">
        <f>B180*C180</f>
        <v>840</v>
      </c>
      <c r="E180" s="2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2"/>
      <c r="AA180" s="2"/>
    </row>
    <row r="181" spans="1:27" ht="15.75" customHeight="1" x14ac:dyDescent="0.2">
      <c r="A181" s="2"/>
      <c r="B181" s="2"/>
      <c r="C181" s="2"/>
      <c r="D181" s="2"/>
      <c r="E181" s="2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2"/>
      <c r="AA181" s="2"/>
    </row>
    <row r="182" spans="1:27" ht="15.75" customHeight="1" x14ac:dyDescent="0.2">
      <c r="A182" s="152" t="s">
        <v>111</v>
      </c>
      <c r="B182" s="2"/>
      <c r="C182" s="2"/>
      <c r="D182" s="151">
        <f>SUM(D5:D180)</f>
        <v>11457.268499999996</v>
      </c>
      <c r="E182" s="2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2"/>
      <c r="AA182" s="2"/>
    </row>
    <row r="183" spans="1:27" ht="15.75" customHeight="1" x14ac:dyDescent="0.2">
      <c r="A183" s="2"/>
      <c r="B183" s="2"/>
      <c r="C183" s="2"/>
      <c r="D183" s="2"/>
      <c r="E183" s="2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2"/>
      <c r="AA183" s="2"/>
    </row>
    <row r="184" spans="1:27" ht="15.75" customHeight="1" x14ac:dyDescent="0.2">
      <c r="A184" s="2"/>
      <c r="B184" s="2"/>
      <c r="C184" s="2"/>
      <c r="D184" s="2"/>
      <c r="E184" s="2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2"/>
      <c r="AA184" s="2"/>
    </row>
    <row r="185" spans="1:27" ht="15.75" customHeight="1" x14ac:dyDescent="0.2">
      <c r="A185" s="2"/>
      <c r="B185" s="2"/>
      <c r="C185" s="2"/>
      <c r="D185" s="2"/>
      <c r="E185" s="2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2"/>
      <c r="AA185" s="2"/>
    </row>
    <row r="186" spans="1:27" ht="15.75" customHeight="1" x14ac:dyDescent="0.2">
      <c r="A186" s="2"/>
      <c r="B186" s="2"/>
      <c r="C186" s="2"/>
      <c r="D186" s="2"/>
      <c r="E186" s="2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2"/>
      <c r="AA187" s="2"/>
    </row>
    <row r="188" spans="1:27" ht="15.75" customHeight="1" x14ac:dyDescent="0.2">
      <c r="A188" s="2"/>
      <c r="B188" s="2"/>
      <c r="C188" s="2"/>
      <c r="D188" s="2"/>
      <c r="E188" s="2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/>
    <row r="382" spans="1:27" ht="15.75" customHeight="1" x14ac:dyDescent="0.2"/>
    <row r="383" spans="1:27" ht="15.75" customHeight="1" x14ac:dyDescent="0.2"/>
    <row r="384" spans="1:27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3">
    <mergeCell ref="M4:O4"/>
    <mergeCell ref="M83:O83"/>
    <mergeCell ref="M140:O14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Jay Russell</cp:lastModifiedBy>
  <dcterms:created xsi:type="dcterms:W3CDTF">2026-04-01T16:43:28Z</dcterms:created>
  <dcterms:modified xsi:type="dcterms:W3CDTF">2026-06-01T14:21:57Z</dcterms:modified>
</cp:coreProperties>
</file>